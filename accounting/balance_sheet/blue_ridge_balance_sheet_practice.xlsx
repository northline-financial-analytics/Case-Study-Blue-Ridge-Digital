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d.docs.live.net/6300d33e23069824/Documents/Courses/Finance/blue_ridge_digital/practice/accounting/balance_sheet/"/>
    </mc:Choice>
  </mc:AlternateContent>
  <xr:revisionPtr revIDLastSave="78" documentId="11_B4BF1666DEDBEA2DF82DB602B7EA7B8256A13E08" xr6:coauthVersionLast="47" xr6:coauthVersionMax="47" xr10:uidLastSave="{9AB4AA92-EDD8-4517-A198-C1C9EC3BC0BD}"/>
  <bookViews>
    <workbookView xWindow="-120" yWindow="-120" windowWidth="29040" windowHeight="15720" firstSheet="1" xr2:uid="{00000000-000D-0000-FFFF-FFFF00000000}"/>
  </bookViews>
  <sheets>
    <sheet name="Exercise" sheetId="1" r:id="rId1"/>
    <sheet name="assets" sheetId="2" r:id="rId2"/>
    <sheet name="liabilities" sheetId="3" r:id="rId3"/>
    <sheet name="equity" sheetId="4" r:id="rId4"/>
    <sheet name="income_statement" sheetId="5" r:id="rId5"/>
    <sheet name="budget" sheetId="6" r:id="rId6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1" l="1"/>
  <c r="E28" i="1"/>
  <c r="E32" i="1"/>
  <c r="E21" i="1"/>
  <c r="B28" i="1"/>
  <c r="B26" i="1"/>
  <c r="B23" i="1"/>
  <c r="E27" i="1"/>
  <c r="D28" i="1"/>
  <c r="D27" i="1"/>
  <c r="B15" i="1"/>
  <c r="B16" i="1"/>
  <c r="B17" i="1"/>
  <c r="B18" i="1"/>
  <c r="E15" i="1"/>
  <c r="E16" i="1"/>
  <c r="E17" i="1"/>
  <c r="E18" i="1"/>
  <c r="E19" i="1"/>
  <c r="D19" i="1"/>
  <c r="D17" i="1"/>
  <c r="D18" i="1"/>
  <c r="D16" i="1"/>
  <c r="D15" i="1"/>
  <c r="A23" i="1"/>
  <c r="A18" i="1"/>
  <c r="A16" i="1"/>
  <c r="A17" i="1"/>
  <c r="A15" i="1"/>
  <c r="B21" i="1" l="1"/>
</calcChain>
</file>

<file path=xl/sharedStrings.xml><?xml version="1.0" encoding="utf-8"?>
<sst xmlns="http://schemas.openxmlformats.org/spreadsheetml/2006/main" count="120" uniqueCount="93">
  <si>
    <t>Blue Ridge Digital LLC — Balance Sheet Practice</t>
  </si>
  <si>
    <t>Reporting date</t>
  </si>
  <si>
    <t>December 31, 2026</t>
  </si>
  <si>
    <t>Task</t>
  </si>
  <si>
    <t>Use the five source tabs to prepare the balance sheet at December 31, 2026.</t>
  </si>
  <si>
    <t>Classify accounts as assets, liabilities, or stockholders’ equity.</t>
  </si>
  <si>
    <t>Present accumulated depreciation as a deduction from computer equipment.</t>
  </si>
  <si>
    <t>Determine retained earnings and verify that assets equal liabilities plus equity.</t>
  </si>
  <si>
    <t>Use actual ending balances only. Exclude income-statement, activity, and budget figures.</t>
  </si>
  <si>
    <t>Assets</t>
  </si>
  <si>
    <t>Amount</t>
  </si>
  <si>
    <t>Liabilities and Stockholders’ Equity</t>
  </si>
  <si>
    <t>Current assets</t>
  </si>
  <si>
    <t>Current liabilities</t>
  </si>
  <si>
    <t>Total current assets</t>
  </si>
  <si>
    <t>Total current liabilities</t>
  </si>
  <si>
    <t>Property and equipment</t>
  </si>
  <si>
    <t>Long-term liabilities</t>
  </si>
  <si>
    <t>Total liabilities</t>
  </si>
  <si>
    <t>Net property and equipment</t>
  </si>
  <si>
    <t>Stockholders’ equity</t>
  </si>
  <si>
    <t>Total assets</t>
  </si>
  <si>
    <t>Total stockholders’ equity</t>
  </si>
  <si>
    <t>Total liabilities and equity</t>
  </si>
  <si>
    <t>Account or metric</t>
  </si>
  <si>
    <t>Description</t>
  </si>
  <si>
    <t>Cash</t>
  </si>
  <si>
    <t>Ending bank balance</t>
  </si>
  <si>
    <t>Accounts receivable</t>
  </si>
  <si>
    <t>Amounts due from customers</t>
  </si>
  <si>
    <t>Office supplies</t>
  </si>
  <si>
    <t>Unused supplies on hand</t>
  </si>
  <si>
    <t>Prepaid insurance</t>
  </si>
  <si>
    <t>Unexpired insurance coverage</t>
  </si>
  <si>
    <t>Computer equipment</t>
  </si>
  <si>
    <t>Equipment cost before accumulated depreciation</t>
  </si>
  <si>
    <t>Accumulated depreciation</t>
  </si>
  <si>
    <t>Contra-asset; deduct from computer equipment</t>
  </si>
  <si>
    <t>Cash collected from customers</t>
  </si>
  <si>
    <t>2026 cash receipts; activity, not an ending asset balance</t>
  </si>
  <si>
    <t>Equipment purchased during 2026</t>
  </si>
  <si>
    <t>Capital expenditure already reflected in equipment balance</t>
  </si>
  <si>
    <t>Depreciation expense</t>
  </si>
  <si>
    <t>Income-statement account</t>
  </si>
  <si>
    <t>Accounts payable</t>
  </si>
  <si>
    <t>Unpaid vendor invoices</t>
  </si>
  <si>
    <t>Accrued payroll</t>
  </si>
  <si>
    <t>Employee compensation owed</t>
  </si>
  <si>
    <t>Unearned revenue</t>
  </si>
  <si>
    <t>Customer deposits for future services</t>
  </si>
  <si>
    <t>Income taxes payable</t>
  </si>
  <si>
    <t>Taxes owed at year-end</t>
  </si>
  <si>
    <t>Note payable</t>
  </si>
  <si>
    <t>Outstanding long-term loan principal</t>
  </si>
  <si>
    <t>Bank loan proceeds</t>
  </si>
  <si>
    <t>2026 borrowing activity; not the ending liability balance</t>
  </si>
  <si>
    <t>Principal repaid</t>
  </si>
  <si>
    <t>2026 financing activity</t>
  </si>
  <si>
    <t>Interest expense</t>
  </si>
  <si>
    <t>Customer deposits received</t>
  </si>
  <si>
    <t>2026 cash receipts already reflected in unearned revenue</t>
  </si>
  <si>
    <t>Common stock</t>
  </si>
  <si>
    <t>Ending common stock balance</t>
  </si>
  <si>
    <t>Retained earnings</t>
  </si>
  <si>
    <t>Determine the ending balance</t>
  </si>
  <si>
    <t>Beginning retained earnings</t>
  </si>
  <si>
    <t>Balance at January 1, 2026</t>
  </si>
  <si>
    <t>Net income</t>
  </si>
  <si>
    <t>2026 earnings</t>
  </si>
  <si>
    <t>Dividends</t>
  </si>
  <si>
    <t>2026 distributions to stockholders</t>
  </si>
  <si>
    <t>Common stock issued</t>
  </si>
  <si>
    <t>2026 issuance already reflected in ending common stock</t>
  </si>
  <si>
    <t>Independent control total from the equity statement</t>
  </si>
  <si>
    <t>Owner salary</t>
  </si>
  <si>
    <t>Compensation expense, not an equity distribution</t>
  </si>
  <si>
    <t>Account</t>
  </si>
  <si>
    <t>2026 actual</t>
  </si>
  <si>
    <t>Service revenue</t>
  </si>
  <si>
    <t>Other income</t>
  </si>
  <si>
    <t>Operating expenses</t>
  </si>
  <si>
    <t>Income tax expense</t>
  </si>
  <si>
    <t>Flows into retained earnings; do not list separately on balance sheet</t>
  </si>
  <si>
    <t>Cash collected</t>
  </si>
  <si>
    <t>Cash-flow activity</t>
  </si>
  <si>
    <t>2026 budget</t>
  </si>
  <si>
    <t>Budgeted ending cash</t>
  </si>
  <si>
    <t>Budgeted ending receivables</t>
  </si>
  <si>
    <t>Budgeted ending payables</t>
  </si>
  <si>
    <t>Budgeted ending debt</t>
  </si>
  <si>
    <t>Budgeted ending common stock</t>
  </si>
  <si>
    <t>Budgeted ending retained earnings</t>
  </si>
  <si>
    <t>Budgeted annual earnings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</si>
</sst>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\$#,##0;[Red]\(\$#,##0\);\-"/>
  </numFmts>
  <fonts count="7">
    <font>
      <sz val="11"/>
      <name val="Carlito"/>
    </font>
    <font>
      <b/>
      <sz val="16"/>
      <color rgb="FF1F4E78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222222"/>
      <name val="Arial"/>
      <family val="2"/>
    </font>
    <font>
      <b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806000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1" xfId="0" applyFont="1" applyFill="1" applyBorder="1"/>
    <xf numFmtId="0" fontId="4" fillId="3" borderId="2" xfId="0" applyFont="1" applyFill="1" applyBorder="1"/>
    <xf numFmtId="0" fontId="0" fillId="0" borderId="3" xfId="0" applyBorder="1"/>
    <xf numFmtId="164" fontId="0" fillId="0" borderId="4" xfId="0" applyNumberFormat="1" applyBorder="1"/>
    <xf numFmtId="0" fontId="5" fillId="0" borderId="0" xfId="0" applyFont="1"/>
    <xf numFmtId="0" fontId="3" fillId="2" borderId="0" xfId="0" applyFont="1" applyFill="1" applyAlignment="1">
      <alignment horizontal="center"/>
    </xf>
    <xf numFmtId="164" fontId="5" fillId="0" borderId="0" xfId="0" applyNumberFormat="1" applyFont="1"/>
    <xf numFmtId="0" fontId="3" fillId="4" borderId="0" xfId="0" applyFont="1" applyFill="1" applyAlignment="1">
      <alignment horizontal="center"/>
    </xf>
    <xf numFmtId="0" fontId="0" fillId="0" borderId="0" xfId="0"/>
    <xf numFmtId="0" fontId="0" fillId="0" borderId="3" xfId="0" applyBorder="1" applyAlignment="1">
      <alignment horizontal="left" indent="2"/>
    </xf>
    <xf numFmtId="44" fontId="0" fillId="0" borderId="7" xfId="0" applyNumberFormat="1" applyBorder="1" applyAlignment="1">
      <alignment horizontal="left" indent="2"/>
    </xf>
    <xf numFmtId="0" fontId="0" fillId="0" borderId="0" xfId="0" applyBorder="1"/>
    <xf numFmtId="164" fontId="0" fillId="0" borderId="0" xfId="0" applyNumberFormat="1" applyBorder="1"/>
    <xf numFmtId="0" fontId="6" fillId="0" borderId="3" xfId="0" applyFont="1" applyBorder="1"/>
    <xf numFmtId="164" fontId="6" fillId="0" borderId="4" xfId="0" applyNumberFormat="1" applyFont="1" applyBorder="1"/>
    <xf numFmtId="0" fontId="6" fillId="5" borderId="5" xfId="0" applyFont="1" applyFill="1" applyBorder="1"/>
    <xf numFmtId="164" fontId="6" fillId="5" borderId="6" xfId="0" applyNumberFormat="1" applyFont="1" applyFill="1" applyBorder="1"/>
    <xf numFmtId="44" fontId="6" fillId="5" borderId="6" xfId="0" applyNumberFormat="1" applyFont="1" applyFill="1" applyBorder="1"/>
    <xf numFmtId="44" fontId="0" fillId="0" borderId="4" xfId="0" applyNumberFormat="1" applyBorder="1"/>
    <xf numFmtId="44" fontId="6" fillId="0" borderId="4" xfId="0" applyNumberFormat="1" applyFont="1" applyBorder="1"/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2:F44"/>
  <sheetViews>
    <sheetView showGridLines="0" tabSelected="1" topLeftCell="A12" workbookViewId="0">
      <selection activeCell="E34" sqref="E34"/>
    </sheetView>
  </sheetViews>
  <sheetFormatPr defaultRowHeight="14.25"/>
  <cols>
    <col min="1" max="1" width="36" customWidth="1"/>
    <col min="2" max="2" width="18" customWidth="1"/>
    <col min="3" max="3" width="4" customWidth="1"/>
    <col min="4" max="4" width="38" customWidth="1"/>
    <col min="5" max="5" width="18" customWidth="1"/>
  </cols>
  <sheetData>
    <row r="2" spans="1:6" ht="20.25">
      <c r="A2" s="23" t="s">
        <v>0</v>
      </c>
      <c r="B2" s="24"/>
      <c r="C2" s="24"/>
      <c r="D2" s="24"/>
      <c r="E2" s="24"/>
      <c r="F2" s="24"/>
    </row>
    <row r="4" spans="1:6">
      <c r="A4" s="1" t="s">
        <v>1</v>
      </c>
      <c r="B4" s="11" t="s">
        <v>2</v>
      </c>
      <c r="C4" s="11"/>
      <c r="D4" s="11"/>
      <c r="E4" s="11"/>
      <c r="F4" s="11"/>
    </row>
    <row r="6" spans="1:6">
      <c r="A6" s="2" t="s">
        <v>3</v>
      </c>
      <c r="B6" s="2"/>
      <c r="C6" s="2"/>
      <c r="D6" s="2"/>
      <c r="E6" s="2"/>
      <c r="F6" s="2"/>
    </row>
    <row r="7" spans="1:6">
      <c r="A7" s="11" t="s">
        <v>4</v>
      </c>
      <c r="B7" s="11"/>
      <c r="C7" s="11"/>
      <c r="D7" s="11"/>
      <c r="E7" s="11"/>
      <c r="F7" s="11"/>
    </row>
    <row r="8" spans="1:6">
      <c r="A8" s="11" t="s">
        <v>5</v>
      </c>
      <c r="B8" s="11"/>
      <c r="C8" s="11"/>
      <c r="D8" s="11"/>
      <c r="E8" s="11"/>
      <c r="F8" s="11"/>
    </row>
    <row r="9" spans="1:6">
      <c r="A9" s="11" t="s">
        <v>6</v>
      </c>
      <c r="B9" s="11"/>
      <c r="C9" s="11"/>
      <c r="D9" s="11"/>
      <c r="E9" s="11"/>
      <c r="F9" s="11"/>
    </row>
    <row r="10" spans="1:6">
      <c r="A10" s="11" t="s">
        <v>7</v>
      </c>
      <c r="B10" s="11"/>
      <c r="C10" s="11"/>
      <c r="D10" s="11"/>
      <c r="E10" s="11"/>
      <c r="F10" s="11"/>
    </row>
    <row r="11" spans="1:6">
      <c r="A11" s="11" t="s">
        <v>8</v>
      </c>
      <c r="B11" s="11"/>
      <c r="C11" s="11"/>
      <c r="D11" s="11"/>
      <c r="E11" s="11"/>
      <c r="F11" s="11"/>
    </row>
    <row r="13" spans="1:6">
      <c r="A13" s="3" t="s">
        <v>9</v>
      </c>
      <c r="B13" s="4" t="s">
        <v>10</v>
      </c>
      <c r="C13" s="11"/>
      <c r="D13" s="3" t="s">
        <v>11</v>
      </c>
      <c r="E13" s="4" t="s">
        <v>10</v>
      </c>
      <c r="F13" s="11"/>
    </row>
    <row r="14" spans="1:6">
      <c r="A14" s="5" t="s">
        <v>12</v>
      </c>
      <c r="B14" s="6"/>
      <c r="C14" s="11"/>
      <c r="D14" s="5" t="s">
        <v>13</v>
      </c>
      <c r="E14" s="6"/>
      <c r="F14" s="11"/>
    </row>
    <row r="15" spans="1:6">
      <c r="A15" s="12" t="str">
        <f>assets!A2</f>
        <v>Cash</v>
      </c>
      <c r="B15" s="13">
        <f>assets!B2</f>
        <v>319200</v>
      </c>
      <c r="C15" s="11"/>
      <c r="D15" s="12" t="str">
        <f>liabilities!A2</f>
        <v>Accounts payable</v>
      </c>
      <c r="E15" s="13">
        <f>liabilities!B2</f>
        <v>36200</v>
      </c>
      <c r="F15" s="11"/>
    </row>
    <row r="16" spans="1:6">
      <c r="A16" s="12" t="str">
        <f>assets!A3</f>
        <v>Accounts receivable</v>
      </c>
      <c r="B16" s="13">
        <f>assets!B3</f>
        <v>174000</v>
      </c>
      <c r="C16" s="11"/>
      <c r="D16" s="12" t="str">
        <f>liabilities!A3</f>
        <v>Accrued payroll</v>
      </c>
      <c r="E16" s="13">
        <f>liabilities!B3</f>
        <v>9100</v>
      </c>
      <c r="F16" s="11"/>
    </row>
    <row r="17" spans="1:6">
      <c r="A17" s="12" t="str">
        <f>assets!A4</f>
        <v>Office supplies</v>
      </c>
      <c r="B17" s="13">
        <f>assets!B4</f>
        <v>4800</v>
      </c>
      <c r="C17" s="11"/>
      <c r="D17" s="12" t="str">
        <f>liabilities!A4</f>
        <v>Unearned revenue</v>
      </c>
      <c r="E17" s="13">
        <f>liabilities!B4</f>
        <v>20000</v>
      </c>
      <c r="F17" s="11"/>
    </row>
    <row r="18" spans="1:6">
      <c r="A18" s="12" t="str">
        <f>assets!A5</f>
        <v>Prepaid insurance</v>
      </c>
      <c r="B18" s="13">
        <f>assets!B5</f>
        <v>19800</v>
      </c>
      <c r="C18" s="11"/>
      <c r="D18" s="12" t="str">
        <f>liabilities!A5</f>
        <v>Income taxes payable</v>
      </c>
      <c r="E18" s="13">
        <f>liabilities!B5</f>
        <v>4000</v>
      </c>
      <c r="F18" s="11"/>
    </row>
    <row r="19" spans="1:6" s="11" customFormat="1">
      <c r="A19" s="5"/>
      <c r="B19" s="6"/>
      <c r="D19" s="12" t="str">
        <f>liabilities!A6</f>
        <v>Note payable</v>
      </c>
      <c r="E19" s="13">
        <f>liabilities!B6</f>
        <v>65000</v>
      </c>
    </row>
    <row r="20" spans="1:6" s="11" customFormat="1">
      <c r="A20" s="5"/>
      <c r="B20" s="6"/>
      <c r="D20" s="12"/>
      <c r="E20" s="13"/>
    </row>
    <row r="21" spans="1:6" ht="15">
      <c r="A21" s="16" t="s">
        <v>14</v>
      </c>
      <c r="B21" s="17">
        <f>SUM(B15:B18)</f>
        <v>517800</v>
      </c>
      <c r="C21" s="11"/>
      <c r="D21" s="16" t="s">
        <v>15</v>
      </c>
      <c r="E21" s="17">
        <f>SUM(E15:E19)</f>
        <v>134300</v>
      </c>
      <c r="F21" s="11"/>
    </row>
    <row r="22" spans="1:6">
      <c r="A22" s="5" t="s">
        <v>16</v>
      </c>
      <c r="B22" s="6"/>
      <c r="C22" s="11"/>
      <c r="D22" s="5" t="s">
        <v>17</v>
      </c>
      <c r="E22" s="6"/>
      <c r="F22" s="11"/>
    </row>
    <row r="23" spans="1:6">
      <c r="A23" s="12" t="str">
        <f>assets!A6</f>
        <v>Computer equipment</v>
      </c>
      <c r="B23" s="13">
        <f>assets!B6</f>
        <v>72000</v>
      </c>
      <c r="C23" s="11"/>
      <c r="D23" s="5"/>
      <c r="E23" s="6"/>
      <c r="F23" s="11"/>
    </row>
    <row r="24" spans="1:6" s="11" customFormat="1" ht="15">
      <c r="A24" s="5"/>
      <c r="B24" s="6"/>
      <c r="D24" s="16" t="s">
        <v>18</v>
      </c>
      <c r="E24" s="17"/>
    </row>
    <row r="25" spans="1:6" s="11" customFormat="1">
      <c r="A25" s="5"/>
      <c r="B25" s="6"/>
      <c r="D25" s="5"/>
      <c r="E25" s="6"/>
    </row>
    <row r="26" spans="1:6" ht="15">
      <c r="A26" s="16" t="s">
        <v>19</v>
      </c>
      <c r="B26" s="17">
        <f>SUM(B23:B24)</f>
        <v>72000</v>
      </c>
      <c r="C26" s="11"/>
      <c r="D26" s="5" t="s">
        <v>20</v>
      </c>
      <c r="E26" s="6"/>
      <c r="F26" s="11"/>
    </row>
    <row r="27" spans="1:6">
      <c r="A27" s="5"/>
      <c r="B27" s="6"/>
      <c r="C27" s="11"/>
      <c r="D27" s="12" t="str">
        <f>equity!A2</f>
        <v>Common stock</v>
      </c>
      <c r="E27" s="13">
        <f>equity!B2</f>
        <v>145000</v>
      </c>
      <c r="F27" s="11"/>
    </row>
    <row r="28" spans="1:6" ht="15">
      <c r="A28" s="18" t="s">
        <v>21</v>
      </c>
      <c r="B28" s="19">
        <f>B21+B26</f>
        <v>589800</v>
      </c>
      <c r="C28" s="11"/>
      <c r="D28" s="12" t="str">
        <f>equity!A3</f>
        <v>Retained earnings</v>
      </c>
      <c r="E28" s="21">
        <f>B28-(E21+E27)</f>
        <v>310500</v>
      </c>
      <c r="F28" s="11"/>
    </row>
    <row r="29" spans="1:6" s="11" customFormat="1">
      <c r="A29" s="14"/>
      <c r="B29" s="15"/>
      <c r="D29" s="5"/>
      <c r="E29" s="21"/>
    </row>
    <row r="30" spans="1:6" s="11" customFormat="1">
      <c r="A30" s="14"/>
      <c r="B30" s="15"/>
      <c r="D30" s="5"/>
      <c r="E30" s="21"/>
    </row>
    <row r="31" spans="1:6" s="11" customFormat="1">
      <c r="A31" s="14"/>
      <c r="B31" s="15"/>
      <c r="D31" s="5"/>
      <c r="E31" s="21"/>
    </row>
    <row r="32" spans="1:6" ht="15">
      <c r="A32" s="11"/>
      <c r="B32" s="11"/>
      <c r="C32" s="11"/>
      <c r="D32" s="16" t="s">
        <v>22</v>
      </c>
      <c r="E32" s="22">
        <f>SUM(E27:E31)</f>
        <v>455500</v>
      </c>
      <c r="F32" s="11"/>
    </row>
    <row r="33" spans="1:6" ht="15">
      <c r="A33" s="11"/>
      <c r="B33" s="11"/>
      <c r="C33" s="11"/>
      <c r="D33" s="18" t="s">
        <v>23</v>
      </c>
      <c r="E33" s="20">
        <f>E32+E21</f>
        <v>589800</v>
      </c>
      <c r="F33" s="11"/>
    </row>
    <row r="34" spans="1:6">
      <c r="A34" s="11"/>
      <c r="B34" s="11"/>
      <c r="C34" s="11"/>
      <c r="D34" s="11"/>
      <c r="E34" s="11"/>
      <c r="F34" s="11"/>
    </row>
    <row r="35" spans="1:6">
      <c r="A35" s="11"/>
      <c r="B35" s="11"/>
      <c r="C35" s="11"/>
      <c r="D35" s="11"/>
      <c r="E35" s="11"/>
      <c r="F35" s="11"/>
    </row>
    <row r="36" spans="1:6">
      <c r="A36" s="11"/>
      <c r="B36" s="11"/>
      <c r="C36" s="11"/>
      <c r="D36" s="11"/>
      <c r="E36" s="11"/>
      <c r="F36" s="11"/>
    </row>
    <row r="37" spans="1:6">
      <c r="A37" s="11"/>
      <c r="B37" s="11"/>
      <c r="C37" s="11"/>
      <c r="D37" s="11"/>
      <c r="E37" s="11"/>
      <c r="F37" s="11"/>
    </row>
    <row r="38" spans="1:6">
      <c r="A38" s="11"/>
      <c r="B38" s="11"/>
      <c r="C38" s="11"/>
      <c r="D38" s="11"/>
      <c r="E38" s="11"/>
      <c r="F38" s="11"/>
    </row>
    <row r="39" spans="1:6">
      <c r="A39" s="11"/>
      <c r="B39" s="11"/>
      <c r="C39" s="11"/>
      <c r="D39" s="11"/>
      <c r="E39" s="11"/>
      <c r="F39" s="11"/>
    </row>
    <row r="40" spans="1:6">
      <c r="A40" s="11"/>
      <c r="B40" s="11"/>
      <c r="C40" s="11"/>
      <c r="D40" s="11"/>
      <c r="E40" s="11"/>
      <c r="F40" s="11"/>
    </row>
    <row r="41" spans="1:6">
      <c r="A41" s="11"/>
      <c r="B41" s="11"/>
      <c r="C41" s="11"/>
      <c r="D41" s="11"/>
      <c r="E41" s="11"/>
      <c r="F41" s="11"/>
    </row>
    <row r="42" spans="1:6">
      <c r="A42" s="11"/>
      <c r="B42" s="11"/>
      <c r="C42" s="11"/>
      <c r="D42" s="11"/>
      <c r="E42" s="11"/>
      <c r="F42" s="11"/>
    </row>
    <row r="43" spans="1:6">
      <c r="A43" s="11"/>
      <c r="B43" s="11"/>
      <c r="C43" s="11"/>
      <c r="D43" s="11"/>
      <c r="E43" s="11"/>
      <c r="F43" s="11"/>
    </row>
    <row r="44" spans="1:6">
      <c r="A44" s="11"/>
      <c r="B44" s="11"/>
      <c r="C44" s="11"/>
      <c r="D44" s="11"/>
      <c r="E44" s="11"/>
      <c r="F44" s="11"/>
    </row>
  </sheetData>
  <mergeCells count="1"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DC3E6"/>
  </sheetPr>
  <dimension ref="A1:C10"/>
  <sheetViews>
    <sheetView showGridLines="0" workbookViewId="0">
      <pane ySplit="1" topLeftCell="A2" activePane="bottomLeft" state="frozen"/>
      <selection pane="bottomLeft" activeCell="A9" sqref="A9"/>
    </sheetView>
  </sheetViews>
  <sheetFormatPr defaultRowHeight="14.25"/>
  <cols>
    <col min="1" max="1" width="30.625" customWidth="1"/>
    <col min="2" max="2" width="13.875" customWidth="1"/>
    <col min="3" max="3" width="39.125" customWidth="1"/>
  </cols>
  <sheetData>
    <row r="1" spans="1:3" ht="15" customHeight="1">
      <c r="A1" s="8" t="s">
        <v>24</v>
      </c>
      <c r="B1" s="8" t="s">
        <v>2</v>
      </c>
      <c r="C1" s="8" t="s">
        <v>25</v>
      </c>
    </row>
    <row r="2" spans="1:3" ht="15" customHeight="1">
      <c r="A2" s="7" t="s">
        <v>26</v>
      </c>
      <c r="B2" s="9">
        <v>319200</v>
      </c>
      <c r="C2" s="7" t="s">
        <v>27</v>
      </c>
    </row>
    <row r="3" spans="1:3" ht="15" customHeight="1">
      <c r="A3" s="7" t="s">
        <v>28</v>
      </c>
      <c r="B3" s="9">
        <v>174000</v>
      </c>
      <c r="C3" s="7" t="s">
        <v>29</v>
      </c>
    </row>
    <row r="4" spans="1:3" ht="15" customHeight="1">
      <c r="A4" s="7" t="s">
        <v>30</v>
      </c>
      <c r="B4" s="9">
        <v>4800</v>
      </c>
      <c r="C4" s="7" t="s">
        <v>31</v>
      </c>
    </row>
    <row r="5" spans="1:3" ht="15" customHeight="1">
      <c r="A5" s="7" t="s">
        <v>32</v>
      </c>
      <c r="B5" s="9">
        <v>19800</v>
      </c>
      <c r="C5" s="7" t="s">
        <v>33</v>
      </c>
    </row>
    <row r="6" spans="1:3" ht="15" customHeight="1">
      <c r="A6" s="7" t="s">
        <v>34</v>
      </c>
      <c r="B6" s="9">
        <v>72000</v>
      </c>
      <c r="C6" s="7" t="s">
        <v>35</v>
      </c>
    </row>
    <row r="7" spans="1:3" ht="15" customHeight="1">
      <c r="A7" s="7" t="s">
        <v>36</v>
      </c>
      <c r="B7" s="9">
        <v>18500</v>
      </c>
      <c r="C7" s="7" t="s">
        <v>37</v>
      </c>
    </row>
    <row r="8" spans="1:3" ht="15" customHeight="1">
      <c r="A8" s="7" t="s">
        <v>38</v>
      </c>
      <c r="B8" s="9">
        <v>2290000</v>
      </c>
      <c r="C8" s="7" t="s">
        <v>39</v>
      </c>
    </row>
    <row r="9" spans="1:3" ht="15" customHeight="1">
      <c r="A9" s="7" t="s">
        <v>40</v>
      </c>
      <c r="B9" s="9">
        <v>24000</v>
      </c>
      <c r="C9" s="7" t="s">
        <v>41</v>
      </c>
    </row>
    <row r="10" spans="1:3" ht="15" customHeight="1">
      <c r="A10" s="7" t="s">
        <v>42</v>
      </c>
      <c r="B10" s="9">
        <v>1100</v>
      </c>
      <c r="C10" s="7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DC3E6"/>
  </sheetPr>
  <dimension ref="A1:C10"/>
  <sheetViews>
    <sheetView showGridLines="0" workbookViewId="0">
      <pane ySplit="1" topLeftCell="A2" activePane="bottomLeft" state="frozen"/>
      <selection pane="bottomLeft" activeCell="A8" sqref="A8"/>
    </sheetView>
  </sheetViews>
  <sheetFormatPr defaultRowHeight="14.25"/>
  <cols>
    <col min="1" max="1" width="25.625" customWidth="1"/>
    <col min="2" max="2" width="13.875" customWidth="1"/>
    <col min="3" max="3" width="38.375" customWidth="1"/>
  </cols>
  <sheetData>
    <row r="1" spans="1:3" ht="15" customHeight="1">
      <c r="A1" s="8" t="s">
        <v>24</v>
      </c>
      <c r="B1" s="8" t="s">
        <v>2</v>
      </c>
      <c r="C1" s="8" t="s">
        <v>25</v>
      </c>
    </row>
    <row r="2" spans="1:3" ht="15" customHeight="1">
      <c r="A2" s="7" t="s">
        <v>44</v>
      </c>
      <c r="B2" s="9">
        <v>36200</v>
      </c>
      <c r="C2" s="7" t="s">
        <v>45</v>
      </c>
    </row>
    <row r="3" spans="1:3" ht="15" customHeight="1">
      <c r="A3" s="7" t="s">
        <v>46</v>
      </c>
      <c r="B3" s="9">
        <v>9100</v>
      </c>
      <c r="C3" s="7" t="s">
        <v>47</v>
      </c>
    </row>
    <row r="4" spans="1:3" ht="15" customHeight="1">
      <c r="A4" s="7" t="s">
        <v>48</v>
      </c>
      <c r="B4" s="9">
        <v>20000</v>
      </c>
      <c r="C4" s="7" t="s">
        <v>49</v>
      </c>
    </row>
    <row r="5" spans="1:3" ht="15" customHeight="1">
      <c r="A5" s="7" t="s">
        <v>50</v>
      </c>
      <c r="B5" s="9">
        <v>4000</v>
      </c>
      <c r="C5" s="7" t="s">
        <v>51</v>
      </c>
    </row>
    <row r="6" spans="1:3" ht="15" customHeight="1">
      <c r="A6" s="7" t="s">
        <v>52</v>
      </c>
      <c r="B6" s="9">
        <v>65000</v>
      </c>
      <c r="C6" s="7" t="s">
        <v>53</v>
      </c>
    </row>
    <row r="7" spans="1:3" ht="15" customHeight="1">
      <c r="A7" s="7" t="s">
        <v>54</v>
      </c>
      <c r="B7" s="9">
        <v>80000</v>
      </c>
      <c r="C7" s="7" t="s">
        <v>55</v>
      </c>
    </row>
    <row r="8" spans="1:3" ht="15" customHeight="1">
      <c r="A8" s="7" t="s">
        <v>56</v>
      </c>
      <c r="B8" s="9">
        <v>10000</v>
      </c>
      <c r="C8" s="7" t="s">
        <v>57</v>
      </c>
    </row>
    <row r="9" spans="1:3" ht="15" customHeight="1">
      <c r="A9" s="7" t="s">
        <v>58</v>
      </c>
      <c r="B9" s="9">
        <v>4200</v>
      </c>
      <c r="C9" s="7" t="s">
        <v>43</v>
      </c>
    </row>
    <row r="10" spans="1:3" ht="15" customHeight="1">
      <c r="A10" s="7" t="s">
        <v>59</v>
      </c>
      <c r="B10" s="9">
        <v>15000</v>
      </c>
      <c r="C10" s="7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DC3E6"/>
  </sheetPr>
  <dimension ref="A1:C9"/>
  <sheetViews>
    <sheetView showGridLines="0" workbookViewId="0">
      <pane ySplit="1" topLeftCell="A2" activePane="bottomLeft" state="frozen"/>
      <selection pane="bottomLeft"/>
    </sheetView>
  </sheetViews>
  <sheetFormatPr defaultRowHeight="14.25"/>
  <cols>
    <col min="1" max="1" width="21.25" bestFit="1" customWidth="1"/>
    <col min="2" max="2" width="11.5" customWidth="1"/>
    <col min="3" max="3" width="47.375" customWidth="1"/>
  </cols>
  <sheetData>
    <row r="1" spans="1:3" ht="15" customHeight="1">
      <c r="A1" s="8" t="s">
        <v>24</v>
      </c>
      <c r="B1" s="8" t="s">
        <v>10</v>
      </c>
      <c r="C1" s="8" t="s">
        <v>25</v>
      </c>
    </row>
    <row r="2" spans="1:3" ht="15" customHeight="1">
      <c r="A2" s="7" t="s">
        <v>61</v>
      </c>
      <c r="B2" s="9">
        <v>145000</v>
      </c>
      <c r="C2" s="7" t="s">
        <v>62</v>
      </c>
    </row>
    <row r="3" spans="1:3" ht="15" customHeight="1">
      <c r="A3" s="7" t="s">
        <v>63</v>
      </c>
      <c r="B3" s="9"/>
      <c r="C3" s="7" t="s">
        <v>64</v>
      </c>
    </row>
    <row r="4" spans="1:3" ht="15" customHeight="1">
      <c r="A4" s="7" t="s">
        <v>65</v>
      </c>
      <c r="B4" s="9">
        <v>242700</v>
      </c>
      <c r="C4" s="7" t="s">
        <v>66</v>
      </c>
    </row>
    <row r="5" spans="1:3" ht="15" customHeight="1">
      <c r="A5" s="7" t="s">
        <v>67</v>
      </c>
      <c r="B5" s="9">
        <v>67300</v>
      </c>
      <c r="C5" s="7" t="s">
        <v>68</v>
      </c>
    </row>
    <row r="6" spans="1:3" ht="15" customHeight="1">
      <c r="A6" s="7" t="s">
        <v>69</v>
      </c>
      <c r="B6" s="9">
        <v>18000</v>
      </c>
      <c r="C6" s="7" t="s">
        <v>70</v>
      </c>
    </row>
    <row r="7" spans="1:3" ht="15" customHeight="1">
      <c r="A7" s="7" t="s">
        <v>71</v>
      </c>
      <c r="B7" s="9">
        <v>45000</v>
      </c>
      <c r="C7" s="7" t="s">
        <v>72</v>
      </c>
    </row>
    <row r="8" spans="1:3" ht="15" customHeight="1">
      <c r="A8" s="7" t="s">
        <v>22</v>
      </c>
      <c r="B8" s="9">
        <v>437000</v>
      </c>
      <c r="C8" s="7" t="s">
        <v>73</v>
      </c>
    </row>
    <row r="9" spans="1:3" ht="15" customHeight="1">
      <c r="A9" s="7" t="s">
        <v>74</v>
      </c>
      <c r="B9" s="9">
        <v>15000</v>
      </c>
      <c r="C9" s="7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DC3E6"/>
  </sheetPr>
  <dimension ref="A1:C8"/>
  <sheetViews>
    <sheetView showGridLines="0" workbookViewId="0">
      <pane ySplit="1" topLeftCell="A2" activePane="bottomLeft" state="frozen"/>
      <selection pane="bottomLeft"/>
    </sheetView>
  </sheetViews>
  <sheetFormatPr defaultRowHeight="14.25"/>
  <cols>
    <col min="1" max="1" width="20.875" customWidth="1"/>
    <col min="2" max="2" width="19.75" customWidth="1"/>
    <col min="3" max="3" width="45.125" customWidth="1"/>
  </cols>
  <sheetData>
    <row r="1" spans="1:3" ht="15" customHeight="1">
      <c r="A1" s="8" t="s">
        <v>76</v>
      </c>
      <c r="B1" s="8" t="s">
        <v>77</v>
      </c>
      <c r="C1" s="8" t="s">
        <v>25</v>
      </c>
    </row>
    <row r="2" spans="1:3" ht="15" customHeight="1">
      <c r="A2" s="7" t="s">
        <v>78</v>
      </c>
      <c r="B2" s="9">
        <v>2358000</v>
      </c>
      <c r="C2" s="7" t="s">
        <v>43</v>
      </c>
    </row>
    <row r="3" spans="1:3" ht="15" customHeight="1">
      <c r="A3" s="7" t="s">
        <v>79</v>
      </c>
      <c r="B3" s="9">
        <v>22000</v>
      </c>
      <c r="C3" s="7" t="s">
        <v>43</v>
      </c>
    </row>
    <row r="4" spans="1:3" ht="15" customHeight="1">
      <c r="A4" s="7" t="s">
        <v>80</v>
      </c>
      <c r="B4" s="9">
        <v>2248500</v>
      </c>
      <c r="C4" s="7" t="s">
        <v>43</v>
      </c>
    </row>
    <row r="5" spans="1:3" ht="15" customHeight="1">
      <c r="A5" s="7" t="s">
        <v>58</v>
      </c>
      <c r="B5" s="9">
        <v>4200</v>
      </c>
      <c r="C5" s="7" t="s">
        <v>43</v>
      </c>
    </row>
    <row r="6" spans="1:3" ht="15" customHeight="1">
      <c r="A6" s="7" t="s">
        <v>81</v>
      </c>
      <c r="B6" s="9">
        <v>60000</v>
      </c>
      <c r="C6" s="7" t="s">
        <v>43</v>
      </c>
    </row>
    <row r="7" spans="1:3" ht="15" customHeight="1">
      <c r="A7" s="7" t="s">
        <v>67</v>
      </c>
      <c r="B7" s="9">
        <v>67300</v>
      </c>
      <c r="C7" s="7" t="s">
        <v>82</v>
      </c>
    </row>
    <row r="8" spans="1:3" ht="15" customHeight="1">
      <c r="A8" s="7" t="s">
        <v>83</v>
      </c>
      <c r="B8" s="9">
        <v>2290000</v>
      </c>
      <c r="C8" s="7" t="s">
        <v>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F9000"/>
  </sheetPr>
  <dimension ref="A1:C8"/>
  <sheetViews>
    <sheetView showGridLines="0" workbookViewId="0">
      <pane ySplit="1" topLeftCell="A2" activePane="bottomLeft" state="frozen"/>
      <selection pane="bottomLeft"/>
    </sheetView>
  </sheetViews>
  <sheetFormatPr defaultRowHeight="14.25"/>
  <cols>
    <col min="1" max="1" width="20.5" customWidth="1"/>
    <col min="2" max="2" width="18.125" customWidth="1"/>
    <col min="3" max="3" width="23.5" customWidth="1"/>
  </cols>
  <sheetData>
    <row r="1" spans="1:3" ht="15" customHeight="1">
      <c r="A1" s="10" t="s">
        <v>76</v>
      </c>
      <c r="B1" s="10" t="s">
        <v>85</v>
      </c>
      <c r="C1" s="10" t="s">
        <v>25</v>
      </c>
    </row>
    <row r="2" spans="1:3" ht="15" customHeight="1">
      <c r="A2" s="7" t="s">
        <v>26</v>
      </c>
      <c r="B2" s="9">
        <v>350000</v>
      </c>
      <c r="C2" s="7" t="s">
        <v>86</v>
      </c>
    </row>
    <row r="3" spans="1:3" ht="15" customHeight="1">
      <c r="A3" s="7" t="s">
        <v>28</v>
      </c>
      <c r="B3" s="9">
        <v>160000</v>
      </c>
      <c r="C3" s="7" t="s">
        <v>87</v>
      </c>
    </row>
    <row r="4" spans="1:3" ht="15" customHeight="1">
      <c r="A4" s="7" t="s">
        <v>44</v>
      </c>
      <c r="B4" s="9">
        <v>30000</v>
      </c>
      <c r="C4" s="7" t="s">
        <v>88</v>
      </c>
    </row>
    <row r="5" spans="1:3" ht="15" customHeight="1">
      <c r="A5" s="7" t="s">
        <v>52</v>
      </c>
      <c r="B5" s="9">
        <v>70000</v>
      </c>
      <c r="C5" s="7" t="s">
        <v>89</v>
      </c>
    </row>
    <row r="6" spans="1:3" ht="15" customHeight="1">
      <c r="A6" s="7" t="s">
        <v>61</v>
      </c>
      <c r="B6" s="9">
        <v>160000</v>
      </c>
      <c r="C6" s="7" t="s">
        <v>90</v>
      </c>
    </row>
    <row r="7" spans="1:3" ht="15" customHeight="1">
      <c r="A7" s="7" t="s">
        <v>63</v>
      </c>
      <c r="B7" s="9">
        <v>310000</v>
      </c>
      <c r="C7" s="7" t="s">
        <v>91</v>
      </c>
    </row>
    <row r="8" spans="1:3" ht="15" customHeight="1">
      <c r="A8" s="7" t="s">
        <v>67</v>
      </c>
      <c r="B8" s="9">
        <v>95000</v>
      </c>
      <c r="C8" s="7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Brice Nelson</cp:lastModifiedBy>
  <cp:revision/>
  <dcterms:created xsi:type="dcterms:W3CDTF">2026-09-20T21:47:27Z</dcterms:created>
  <dcterms:modified xsi:type="dcterms:W3CDTF">2026-09-20T21:47:27Z</dcterms:modified>
  <cp:category/>
  <cp:contentStatus/>
</cp:coreProperties>
</file>