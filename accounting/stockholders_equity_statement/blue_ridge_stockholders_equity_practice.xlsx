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27" documentId="11_210618471A9988EB8DE6037057FB736A7169B6D5" xr6:coauthVersionLast="47" xr6:coauthVersionMax="47" xr10:uidLastSave="{B4BF5DF9-8B3A-411A-ABF1-6599D4E24DFB}"/>
  <bookViews>
    <workbookView xWindow="0" yWindow="0" windowWidth="0" windowHeight="0" xr2:uid="{00000000-000D-0000-FFFF-FFFF00000000}"/>
  </bookViews>
  <sheets>
    <sheet name="Exercise" sheetId="1" r:id="rId1"/>
    <sheet name="accounting" sheetId="2" r:id="rId2"/>
    <sheet name="financing" sheetId="3" r:id="rId3"/>
    <sheet name="income_summary" sheetId="4" r:id="rId4"/>
    <sheet name="distributions" sheetId="5" r:id="rId5"/>
    <sheet name="budget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8" i="1"/>
  <c r="B18" i="1"/>
  <c r="C18" i="1"/>
  <c r="D14" i="1"/>
  <c r="D15" i="1"/>
  <c r="D16" i="1"/>
  <c r="C16" i="1"/>
  <c r="C15" i="1"/>
  <c r="B14" i="1"/>
  <c r="D13" i="1"/>
  <c r="C13" i="1"/>
  <c r="B13" i="1"/>
</calcChain>
</file>

<file path=xl/sharedStrings.xml><?xml version="1.0" encoding="utf-8"?>
<sst xmlns="http://schemas.openxmlformats.org/spreadsheetml/2006/main" count="114" uniqueCount="103">
  <si>
    <t>Blue Ridge Digital LLC — Stockholders’ Equity Practice</t>
  </si>
  <si>
    <t>Reporting period</t>
  </si>
  <si>
    <t>Year ended December 31, 2026</t>
  </si>
  <si>
    <t>Task</t>
  </si>
  <si>
    <t>Use the five source tabs to prepare the statement of stockholders’ equity for 2026.</t>
  </si>
  <si>
    <t>Show common stock, retained earnings, and total stockholders’ equity.</t>
  </si>
  <si>
    <t>Use actual transactions only. Exclude assets, liabilities, expenses, and budget figures.</t>
  </si>
  <si>
    <t>Link the statement to the applicable source cells and use formulas for totals.</t>
  </si>
  <si>
    <t>Description</t>
  </si>
  <si>
    <t>Common Stock</t>
  </si>
  <si>
    <t>Retained Earnings</t>
  </si>
  <si>
    <t>Total Stockholders’ Equity</t>
  </si>
  <si>
    <t>Balance at January 1, 2026</t>
  </si>
  <si>
    <t>Issuance of Common Stock</t>
  </si>
  <si>
    <t>Net Income</t>
  </si>
  <si>
    <t>Less: Dividends</t>
  </si>
  <si>
    <t>Balance at December 31, 2026</t>
  </si>
  <si>
    <t>CHECK</t>
  </si>
  <si>
    <t>Account</t>
  </si>
  <si>
    <t>Common stock</t>
  </si>
  <si>
    <t>Beginning contributed capital</t>
  </si>
  <si>
    <t>Retained earnings</t>
  </si>
  <si>
    <t>Beginning accumulated earnings</t>
  </si>
  <si>
    <t>Cash</t>
  </si>
  <si>
    <t>Beginning bank balance</t>
  </si>
  <si>
    <t>Accounts receivable</t>
  </si>
  <si>
    <t>Beginning customer receivables</t>
  </si>
  <si>
    <t>Computer equipment</t>
  </si>
  <si>
    <t>Beginning equipment cost</t>
  </si>
  <si>
    <t>Accumulated depreciation</t>
  </si>
  <si>
    <t>Beginning contra-asset balance</t>
  </si>
  <si>
    <t>Accounts payable</t>
  </si>
  <si>
    <t>Beginning vendor obligations</t>
  </si>
  <si>
    <t>Note payable</t>
  </si>
  <si>
    <t>Beginning loan principal</t>
  </si>
  <si>
    <t>Unearned revenue</t>
  </si>
  <si>
    <t>Beginning customer deposits</t>
  </si>
  <si>
    <t>Income taxes payable</t>
  </si>
  <si>
    <t>Beginning tax liability</t>
  </si>
  <si>
    <t>Transaction ID</t>
  </si>
  <si>
    <t>Transaction</t>
  </si>
  <si>
    <t>Actual amount</t>
  </si>
  <si>
    <t>FIN-2601</t>
  </si>
  <si>
    <t>Issuance of common stock</t>
  </si>
  <si>
    <t>New shares issued for cash during 2026</t>
  </si>
  <si>
    <t>FIN-2602</t>
  </si>
  <si>
    <t>Bank loan proceeds</t>
  </si>
  <si>
    <t>New five-year note payable</t>
  </si>
  <si>
    <t>FIN-2603</t>
  </si>
  <si>
    <t>Computer equipment purchased</t>
  </si>
  <si>
    <t>Cash purchase of equipment</t>
  </si>
  <si>
    <t>FIN-2604</t>
  </si>
  <si>
    <t>Principal repaid</t>
  </si>
  <si>
    <t>Reduction of note payable</t>
  </si>
  <si>
    <t>FIN-2605</t>
  </si>
  <si>
    <t>Interest paid</t>
  </si>
  <si>
    <t>Interest expense paid during 2026</t>
  </si>
  <si>
    <t>FIN-2606</t>
  </si>
  <si>
    <t>Customer deposit received</t>
  </si>
  <si>
    <t>Deposit for work to be completed in 2027</t>
  </si>
  <si>
    <t>Metric</t>
  </si>
  <si>
    <t>2026 actual</t>
  </si>
  <si>
    <t>Service revenue</t>
  </si>
  <si>
    <t>Revenue earned during 2026</t>
  </si>
  <si>
    <t>Other income</t>
  </si>
  <si>
    <t>Referral and interest income earned</t>
  </si>
  <si>
    <t>Operating expenses</t>
  </si>
  <si>
    <t>Expenses incurred during 2026</t>
  </si>
  <si>
    <t>Interest expense</t>
  </si>
  <si>
    <t>Financing cost for 2026</t>
  </si>
  <si>
    <t>Income tax expense</t>
  </si>
  <si>
    <t>Income tax expense for 2026</t>
  </si>
  <si>
    <t>Net income</t>
  </si>
  <si>
    <t>Final 2026 net income after all expenses</t>
  </si>
  <si>
    <t>Cash collected from customers</t>
  </si>
  <si>
    <t>Cash receipts; not revenue or net income</t>
  </si>
  <si>
    <t>DIST-2601</t>
  </si>
  <si>
    <t>Cash dividends declared and paid</t>
  </si>
  <si>
    <t>Distribution to stockholders during 2026</t>
  </si>
  <si>
    <t>DIST-2602</t>
  </si>
  <si>
    <t>Owner salary</t>
  </si>
  <si>
    <t>Compensation included in operating expenses</t>
  </si>
  <si>
    <t>DIST-2603</t>
  </si>
  <si>
    <t>Employee bonuses</t>
  </si>
  <si>
    <t>DIST-2604</t>
  </si>
  <si>
    <t>Charitable contribution</t>
  </si>
  <si>
    <t>Expense included in operating expenses</t>
  </si>
  <si>
    <t>DIST-2605</t>
  </si>
  <si>
    <t>Shareholder travel reimbursement</t>
  </si>
  <si>
    <t>Valid business expense included in operating expenses</t>
  </si>
  <si>
    <t>Item</t>
  </si>
  <si>
    <t>2026 budget</t>
  </si>
  <si>
    <t>Common stock issuance</t>
  </si>
  <si>
    <t>Planned equity financing</t>
  </si>
  <si>
    <t>Budgeted annual earnings</t>
  </si>
  <si>
    <t>Dividends</t>
  </si>
  <si>
    <t>Planned shareholder distribution</t>
  </si>
  <si>
    <t>Capital expenditures</t>
  </si>
  <si>
    <t>Planned equipment purchases</t>
  </si>
  <si>
    <t>Debt proceeds</t>
  </si>
  <si>
    <t>Planned new borrowing</t>
  </si>
  <si>
    <t>Debt principal repayment</t>
  </si>
  <si>
    <t>Planned principal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</si>
</sst>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[Red]\(\$#,##0\);\-"/>
  </numFmts>
  <fonts count="8">
    <font>
      <sz val="11"/>
      <name val="Carlito"/>
    </font>
    <font>
      <b/>
      <sz val="16"/>
      <color rgb="FF1F4E78"/>
      <name val="Arial"/>
    </font>
    <font>
      <b/>
      <sz val="1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name val="Arial"/>
    </font>
    <font>
      <sz val="10"/>
      <color rgb="FF222222"/>
      <name val="Arial"/>
    </font>
    <font>
      <b/>
      <sz val="11"/>
      <color rgb="FFFF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806000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NumberFormat="1" applyFont="1" applyFill="1" applyBorder="1"/>
    <xf numFmtId="0" fontId="3" fillId="2" borderId="0" xfId="0" applyNumberFormat="1" applyFont="1" applyFill="1" applyBorder="1"/>
    <xf numFmtId="164" fontId="5" fillId="0" borderId="0" xfId="0" applyNumberFormat="1" applyFont="1" applyFill="1" applyBorder="1"/>
    <xf numFmtId="0" fontId="4" fillId="3" borderId="1" xfId="0" applyNumberFormat="1" applyFont="1" applyFill="1" applyBorder="1"/>
    <xf numFmtId="0" fontId="4" fillId="3" borderId="2" xfId="0" applyNumberFormat="1" applyFont="1" applyFill="1" applyBorder="1"/>
    <xf numFmtId="0" fontId="4" fillId="3" borderId="3" xfId="0" applyNumberFormat="1" applyFont="1" applyFill="1" applyBorder="1"/>
    <xf numFmtId="0" fontId="5" fillId="0" borderId="4" xfId="0" applyNumberFormat="1" applyFont="1" applyFill="1" applyBorder="1"/>
    <xf numFmtId="164" fontId="5" fillId="0" borderId="5" xfId="0" applyNumberFormat="1" applyFont="1" applyFill="1" applyBorder="1"/>
    <xf numFmtId="0" fontId="6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/>
    </xf>
    <xf numFmtId="164" fontId="6" fillId="0" borderId="0" xfId="0" applyNumberFormat="1" applyFont="1" applyFill="1" applyBorder="1"/>
    <xf numFmtId="0" fontId="3" fillId="4" borderId="0" xfId="0" applyNumberFormat="1" applyFont="1" applyFill="1" applyBorder="1" applyAlignment="1">
      <alignment horizontal="center"/>
    </xf>
    <xf numFmtId="0" fontId="2" fillId="5" borderId="6" xfId="0" applyNumberFormat="1" applyFont="1" applyFill="1" applyBorder="1"/>
    <xf numFmtId="164" fontId="2" fillId="5" borderId="7" xfId="0" applyNumberFormat="1" applyFont="1" applyFill="1" applyBorder="1"/>
    <xf numFmtId="164" fontId="2" fillId="5" borderId="8" xfId="0" applyNumberFormat="1" applyFont="1" applyFill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1" fillId="0" borderId="0" xfId="0" applyNumberFormat="1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D20"/>
  <sheetViews>
    <sheetView showGridLines="0" tabSelected="1" topLeftCell="A6" workbookViewId="0">
      <selection activeCell="C20" sqref="C20:D20"/>
    </sheetView>
  </sheetViews>
  <sheetFormatPr defaultRowHeight="15"/>
  <cols>
    <col min="1" max="1" width="40" customWidth="1"/>
    <col min="2" max="4" width="24" customWidth="1"/>
  </cols>
  <sheetData>
    <row r="2" spans="1:4" ht="29.25" customHeight="1">
      <c r="A2" s="18" t="s">
        <v>0</v>
      </c>
      <c r="B2" s="19"/>
      <c r="C2" s="19"/>
      <c r="D2" s="19"/>
    </row>
    <row r="4" spans="1:4">
      <c r="A4" s="1" t="s">
        <v>1</v>
      </c>
      <c r="B4" t="s">
        <v>2</v>
      </c>
    </row>
    <row r="6" spans="1:4">
      <c r="A6" s="2" t="s">
        <v>3</v>
      </c>
      <c r="B6" s="2"/>
      <c r="C6" s="2"/>
      <c r="D6" s="2"/>
    </row>
    <row r="7" spans="1:4">
      <c r="A7" t="s">
        <v>4</v>
      </c>
    </row>
    <row r="8" spans="1:4">
      <c r="A8" t="s">
        <v>5</v>
      </c>
    </row>
    <row r="9" spans="1:4">
      <c r="A9" t="s">
        <v>6</v>
      </c>
    </row>
    <row r="10" spans="1:4">
      <c r="A10" t="s">
        <v>7</v>
      </c>
    </row>
    <row r="12" spans="1:4">
      <c r="A12" s="4" t="s">
        <v>8</v>
      </c>
      <c r="B12" s="5" t="s">
        <v>9</v>
      </c>
      <c r="C12" s="5" t="s">
        <v>10</v>
      </c>
      <c r="D12" s="6" t="s">
        <v>11</v>
      </c>
    </row>
    <row r="13" spans="1:4">
      <c r="A13" s="7" t="s">
        <v>12</v>
      </c>
      <c r="B13" s="3">
        <f>accounting!B2</f>
        <v>100000</v>
      </c>
      <c r="C13" s="3">
        <f>accounting!B3</f>
        <v>242700</v>
      </c>
      <c r="D13" s="8">
        <f>SUM(B13:C13)</f>
        <v>342700</v>
      </c>
    </row>
    <row r="14" spans="1:4">
      <c r="A14" s="7" t="s">
        <v>13</v>
      </c>
      <c r="B14" s="3">
        <f>financing!C2</f>
        <v>45000</v>
      </c>
      <c r="C14" s="3"/>
      <c r="D14" s="8">
        <f t="shared" ref="D14:D16" si="0">SUM(B14:C14)</f>
        <v>45000</v>
      </c>
    </row>
    <row r="15" spans="1:4">
      <c r="A15" s="7" t="s">
        <v>14</v>
      </c>
      <c r="B15" s="3"/>
      <c r="C15" s="3">
        <f>income_summary!B7</f>
        <v>67300</v>
      </c>
      <c r="D15" s="8">
        <f t="shared" si="0"/>
        <v>67300</v>
      </c>
    </row>
    <row r="16" spans="1:4">
      <c r="A16" s="7" t="s">
        <v>15</v>
      </c>
      <c r="B16" s="3"/>
      <c r="C16" s="3">
        <f>distributions!C2*-1</f>
        <v>-18000</v>
      </c>
      <c r="D16" s="8">
        <f t="shared" si="0"/>
        <v>-18000</v>
      </c>
    </row>
    <row r="17" spans="1:4">
      <c r="A17" s="7"/>
      <c r="B17" s="3"/>
      <c r="C17" s="3"/>
      <c r="D17" s="8"/>
    </row>
    <row r="18" spans="1:4">
      <c r="A18" s="13" t="s">
        <v>16</v>
      </c>
      <c r="B18" s="14">
        <f>SUM(B13:B17)</f>
        <v>145000</v>
      </c>
      <c r="C18" s="14">
        <f>SUM(C13:C17)</f>
        <v>292000</v>
      </c>
      <c r="D18" s="15">
        <f>SUM(B18:C18)</f>
        <v>437000</v>
      </c>
    </row>
    <row r="20" spans="1:4">
      <c r="C20" s="16" t="s">
        <v>17</v>
      </c>
      <c r="D20" s="17" t="b">
        <f>IF(SUM(D13:D17)=SUM(B18:C18),TRUE,FALSE)</f>
        <v>1</v>
      </c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C3E6"/>
  </sheetPr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125" customWidth="1"/>
    <col min="2" max="2" width="19.375" customWidth="1"/>
    <col min="3" max="3" width="22" customWidth="1"/>
  </cols>
  <sheetData>
    <row r="1" spans="1:3" ht="15" customHeight="1">
      <c r="A1" s="10" t="s">
        <v>18</v>
      </c>
      <c r="B1" s="10" t="s">
        <v>12</v>
      </c>
      <c r="C1" s="10" t="s">
        <v>8</v>
      </c>
    </row>
    <row r="2" spans="1:3" ht="15" customHeight="1">
      <c r="A2" s="9" t="s">
        <v>19</v>
      </c>
      <c r="B2" s="11">
        <v>100000</v>
      </c>
      <c r="C2" s="9" t="s">
        <v>20</v>
      </c>
    </row>
    <row r="3" spans="1:3" ht="15" customHeight="1">
      <c r="A3" s="9" t="s">
        <v>21</v>
      </c>
      <c r="B3" s="11">
        <v>242700</v>
      </c>
      <c r="C3" s="9" t="s">
        <v>22</v>
      </c>
    </row>
    <row r="4" spans="1:3" ht="15" customHeight="1">
      <c r="A4" s="9" t="s">
        <v>23</v>
      </c>
      <c r="B4" s="11">
        <v>300000</v>
      </c>
      <c r="C4" s="9" t="s">
        <v>24</v>
      </c>
    </row>
    <row r="5" spans="1:3" ht="15" customHeight="1">
      <c r="A5" s="9" t="s">
        <v>25</v>
      </c>
      <c r="B5" s="11">
        <v>174000</v>
      </c>
      <c r="C5" s="9" t="s">
        <v>26</v>
      </c>
    </row>
    <row r="6" spans="1:3" ht="15" customHeight="1">
      <c r="A6" s="9" t="s">
        <v>27</v>
      </c>
      <c r="B6" s="11">
        <v>72000</v>
      </c>
      <c r="C6" s="9" t="s">
        <v>28</v>
      </c>
    </row>
    <row r="7" spans="1:3" ht="15" customHeight="1">
      <c r="A7" s="9" t="s">
        <v>29</v>
      </c>
      <c r="B7" s="11">
        <v>18500</v>
      </c>
      <c r="C7" s="9" t="s">
        <v>30</v>
      </c>
    </row>
    <row r="8" spans="1:3" ht="15" customHeight="1">
      <c r="A8" s="9" t="s">
        <v>31</v>
      </c>
      <c r="B8" s="11">
        <v>36200</v>
      </c>
      <c r="C8" s="9" t="s">
        <v>32</v>
      </c>
    </row>
    <row r="9" spans="1:3" ht="15" customHeight="1">
      <c r="A9" s="9" t="s">
        <v>33</v>
      </c>
      <c r="B9" s="11">
        <v>65000</v>
      </c>
      <c r="C9" s="9" t="s">
        <v>34</v>
      </c>
    </row>
    <row r="10" spans="1:3" ht="15" customHeight="1">
      <c r="A10" s="9" t="s">
        <v>35</v>
      </c>
      <c r="B10" s="11">
        <v>20000</v>
      </c>
      <c r="C10" s="9" t="s">
        <v>36</v>
      </c>
    </row>
    <row r="11" spans="1:3" ht="15" customHeight="1">
      <c r="A11" s="9" t="s">
        <v>37</v>
      </c>
      <c r="B11" s="11">
        <v>4000</v>
      </c>
      <c r="C11" s="9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DC3E6"/>
  </sheetPr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5" customWidth="1"/>
    <col min="2" max="2" width="21.625" customWidth="1"/>
    <col min="3" max="3" width="10.75" customWidth="1"/>
    <col min="4" max="4" width="27.5" customWidth="1"/>
  </cols>
  <sheetData>
    <row r="1" spans="1:4" ht="15" customHeight="1">
      <c r="A1" s="10" t="s">
        <v>39</v>
      </c>
      <c r="B1" s="10" t="s">
        <v>40</v>
      </c>
      <c r="C1" s="10" t="s">
        <v>41</v>
      </c>
      <c r="D1" s="10" t="s">
        <v>8</v>
      </c>
    </row>
    <row r="2" spans="1:4" ht="15" customHeight="1">
      <c r="A2" s="9" t="s">
        <v>42</v>
      </c>
      <c r="B2" s="9" t="s">
        <v>43</v>
      </c>
      <c r="C2" s="11">
        <v>45000</v>
      </c>
      <c r="D2" s="9" t="s">
        <v>44</v>
      </c>
    </row>
    <row r="3" spans="1:4" ht="15" customHeight="1">
      <c r="A3" s="9" t="s">
        <v>45</v>
      </c>
      <c r="B3" s="9" t="s">
        <v>46</v>
      </c>
      <c r="C3" s="11">
        <v>80000</v>
      </c>
      <c r="D3" s="9" t="s">
        <v>47</v>
      </c>
    </row>
    <row r="4" spans="1:4" ht="15" customHeight="1">
      <c r="A4" s="9" t="s">
        <v>48</v>
      </c>
      <c r="B4" s="9" t="s">
        <v>49</v>
      </c>
      <c r="C4" s="11">
        <v>24000</v>
      </c>
      <c r="D4" s="9" t="s">
        <v>50</v>
      </c>
    </row>
    <row r="5" spans="1:4" ht="15" customHeight="1">
      <c r="A5" s="9" t="s">
        <v>51</v>
      </c>
      <c r="B5" s="9" t="s">
        <v>52</v>
      </c>
      <c r="C5" s="11">
        <v>10000</v>
      </c>
      <c r="D5" s="9" t="s">
        <v>53</v>
      </c>
    </row>
    <row r="6" spans="1:4" ht="15" customHeight="1">
      <c r="A6" s="9" t="s">
        <v>54</v>
      </c>
      <c r="B6" s="9" t="s">
        <v>55</v>
      </c>
      <c r="C6" s="11">
        <v>4200</v>
      </c>
      <c r="D6" s="9" t="s">
        <v>56</v>
      </c>
    </row>
    <row r="7" spans="1:4" ht="15" customHeight="1">
      <c r="A7" s="9" t="s">
        <v>57</v>
      </c>
      <c r="B7" s="9" t="s">
        <v>58</v>
      </c>
      <c r="C7" s="11">
        <v>15000</v>
      </c>
      <c r="D7" s="9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DC3E6"/>
  </sheetPr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5" customWidth="1"/>
    <col min="2" max="2" width="14" customWidth="1"/>
    <col min="3" max="3" width="27.5" customWidth="1"/>
  </cols>
  <sheetData>
    <row r="1" spans="1:3" ht="15" customHeight="1">
      <c r="A1" s="10" t="s">
        <v>60</v>
      </c>
      <c r="B1" s="10" t="s">
        <v>61</v>
      </c>
      <c r="C1" s="10" t="s">
        <v>8</v>
      </c>
    </row>
    <row r="2" spans="1:3" ht="15" customHeight="1">
      <c r="A2" s="9" t="s">
        <v>62</v>
      </c>
      <c r="B2" s="11">
        <v>2358000</v>
      </c>
      <c r="C2" s="9" t="s">
        <v>63</v>
      </c>
    </row>
    <row r="3" spans="1:3" ht="15" customHeight="1">
      <c r="A3" s="9" t="s">
        <v>64</v>
      </c>
      <c r="B3" s="11">
        <v>22000</v>
      </c>
      <c r="C3" s="9" t="s">
        <v>65</v>
      </c>
    </row>
    <row r="4" spans="1:3" ht="15" customHeight="1">
      <c r="A4" s="9" t="s">
        <v>66</v>
      </c>
      <c r="B4" s="11">
        <v>2248500</v>
      </c>
      <c r="C4" s="9" t="s">
        <v>67</v>
      </c>
    </row>
    <row r="5" spans="1:3" ht="15" customHeight="1">
      <c r="A5" s="9" t="s">
        <v>68</v>
      </c>
      <c r="B5" s="11">
        <v>4200</v>
      </c>
      <c r="C5" s="9" t="s">
        <v>69</v>
      </c>
    </row>
    <row r="6" spans="1:3" ht="15" customHeight="1">
      <c r="A6" s="9" t="s">
        <v>70</v>
      </c>
      <c r="B6" s="11">
        <v>60000</v>
      </c>
      <c r="C6" s="9" t="s">
        <v>71</v>
      </c>
    </row>
    <row r="7" spans="1:3" ht="15" customHeight="1">
      <c r="A7" s="9" t="s">
        <v>72</v>
      </c>
      <c r="B7" s="11">
        <v>67300</v>
      </c>
      <c r="C7" s="9" t="s">
        <v>73</v>
      </c>
    </row>
    <row r="8" spans="1:3" ht="15" customHeight="1">
      <c r="A8" s="9" t="s">
        <v>74</v>
      </c>
      <c r="B8" s="11">
        <v>2290000</v>
      </c>
      <c r="C8" s="9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C3E6"/>
  </sheetPr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5" customWidth="1"/>
    <col min="2" max="2" width="22.875" customWidth="1"/>
    <col min="3" max="3" width="10.75" customWidth="1"/>
    <col min="4" max="4" width="36.875" customWidth="1"/>
  </cols>
  <sheetData>
    <row r="1" spans="1:4" ht="15" customHeight="1">
      <c r="A1" s="10" t="s">
        <v>39</v>
      </c>
      <c r="B1" s="10" t="s">
        <v>40</v>
      </c>
      <c r="C1" s="10" t="s">
        <v>41</v>
      </c>
      <c r="D1" s="10" t="s">
        <v>8</v>
      </c>
    </row>
    <row r="2" spans="1:4" ht="15" customHeight="1">
      <c r="A2" s="9" t="s">
        <v>76</v>
      </c>
      <c r="B2" s="9" t="s">
        <v>77</v>
      </c>
      <c r="C2" s="11">
        <v>18000</v>
      </c>
      <c r="D2" s="9" t="s">
        <v>78</v>
      </c>
    </row>
    <row r="3" spans="1:4" ht="15" customHeight="1">
      <c r="A3" s="9" t="s">
        <v>79</v>
      </c>
      <c r="B3" s="9" t="s">
        <v>80</v>
      </c>
      <c r="C3" s="11">
        <v>15000</v>
      </c>
      <c r="D3" s="9" t="s">
        <v>81</v>
      </c>
    </row>
    <row r="4" spans="1:4" ht="15" customHeight="1">
      <c r="A4" s="9" t="s">
        <v>82</v>
      </c>
      <c r="B4" s="9" t="s">
        <v>83</v>
      </c>
      <c r="C4" s="11">
        <v>12000</v>
      </c>
      <c r="D4" s="9" t="s">
        <v>81</v>
      </c>
    </row>
    <row r="5" spans="1:4" ht="15" customHeight="1">
      <c r="A5" s="9" t="s">
        <v>84</v>
      </c>
      <c r="B5" s="9" t="s">
        <v>85</v>
      </c>
      <c r="C5" s="11">
        <v>3500</v>
      </c>
      <c r="D5" s="9" t="s">
        <v>86</v>
      </c>
    </row>
    <row r="6" spans="1:4" ht="15" customHeight="1">
      <c r="A6" s="9" t="s">
        <v>87</v>
      </c>
      <c r="B6" s="9" t="s">
        <v>88</v>
      </c>
      <c r="C6" s="11">
        <v>1800</v>
      </c>
      <c r="D6" s="9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9000"/>
  </sheetPr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7.375" customWidth="1"/>
    <col min="2" max="2" width="9.125" customWidth="1"/>
    <col min="3" max="3" width="21.75" customWidth="1"/>
  </cols>
  <sheetData>
    <row r="1" spans="1:3" ht="15" customHeight="1">
      <c r="A1" s="12" t="s">
        <v>90</v>
      </c>
      <c r="B1" s="12" t="s">
        <v>91</v>
      </c>
      <c r="C1" s="12" t="s">
        <v>8</v>
      </c>
    </row>
    <row r="2" spans="1:3" ht="15" customHeight="1">
      <c r="A2" s="9" t="s">
        <v>92</v>
      </c>
      <c r="B2" s="11">
        <v>60000</v>
      </c>
      <c r="C2" s="9" t="s">
        <v>93</v>
      </c>
    </row>
    <row r="3" spans="1:3" ht="15" customHeight="1">
      <c r="A3" s="9" t="s">
        <v>72</v>
      </c>
      <c r="B3" s="11">
        <v>95000</v>
      </c>
      <c r="C3" s="9" t="s">
        <v>94</v>
      </c>
    </row>
    <row r="4" spans="1:3" ht="15" customHeight="1">
      <c r="A4" s="9" t="s">
        <v>95</v>
      </c>
      <c r="B4" s="11">
        <v>25000</v>
      </c>
      <c r="C4" s="9" t="s">
        <v>96</v>
      </c>
    </row>
    <row r="5" spans="1:3" ht="15" customHeight="1">
      <c r="A5" s="9" t="s">
        <v>97</v>
      </c>
      <c r="B5" s="11">
        <v>40000</v>
      </c>
      <c r="C5" s="9" t="s">
        <v>98</v>
      </c>
    </row>
    <row r="6" spans="1:3" ht="15" customHeight="1">
      <c r="A6" s="9" t="s">
        <v>99</v>
      </c>
      <c r="B6" s="11">
        <v>100000</v>
      </c>
      <c r="C6" s="9" t="s">
        <v>100</v>
      </c>
    </row>
    <row r="7" spans="1:3" ht="15" customHeight="1">
      <c r="A7" s="9" t="s">
        <v>101</v>
      </c>
      <c r="B7" s="11">
        <v>15000</v>
      </c>
      <c r="C7" s="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Brice Nelson</cp:lastModifiedBy>
  <cp:revision/>
  <dcterms:created xsi:type="dcterms:W3CDTF">2026-09-20T07:51:57Z</dcterms:created>
  <dcterms:modified xsi:type="dcterms:W3CDTF">2026-09-20T07:51:57Z</dcterms:modified>
  <cp:category/>
  <cp:contentStatus/>
</cp:coreProperties>
</file>