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InkAnnotation="0" autoCompressPictures="0"/>
  <xr:revisionPtr revIDLastSave="97" documentId="11_A5D43A9FEF0BFC67170C295D2709000836359742" xr6:coauthVersionLast="47" xr6:coauthVersionMax="47" xr10:uidLastSave="{F46F296D-8C4C-4679-B2C5-7B49413CB803}"/>
  <bookViews>
    <workbookView xWindow="0" yWindow="0" windowWidth="0" windowHeight="0" xr2:uid="{00000000-000D-0000-FFFF-FFFF00000000}"/>
  </bookViews>
  <sheets>
    <sheet name="Exercise" sheetId="1" r:id="rId1"/>
    <sheet name="revenue" sheetId="2" r:id="rId2"/>
    <sheet name="payroll" sheetId="3" r:id="rId3"/>
    <sheet name="operations" sheetId="4" r:id="rId4"/>
    <sheet name="budget" sheetId="5" r:id="rId5"/>
    <sheet name="accounting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B18" i="1"/>
  <c r="D18" i="1"/>
  <c r="A18" i="1"/>
  <c r="B30" i="1"/>
  <c r="B29" i="1"/>
  <c r="B25" i="1"/>
  <c r="B26" i="1"/>
  <c r="B27" i="1"/>
  <c r="B28" i="1"/>
  <c r="B24" i="1"/>
  <c r="B22" i="1"/>
  <c r="B23" i="1"/>
  <c r="B21" i="1"/>
  <c r="C31" i="1" s="1"/>
  <c r="D30" i="1"/>
  <c r="D29" i="1"/>
  <c r="A30" i="1"/>
  <c r="A29" i="1"/>
  <c r="D26" i="1"/>
  <c r="D27" i="1"/>
  <c r="D28" i="1"/>
  <c r="D24" i="1"/>
  <c r="D25" i="1"/>
  <c r="D22" i="1"/>
  <c r="D23" i="1"/>
  <c r="D21" i="1"/>
  <c r="D15" i="1"/>
  <c r="D16" i="1"/>
  <c r="D17" i="1"/>
  <c r="D14" i="1"/>
  <c r="A25" i="1"/>
  <c r="A26" i="1"/>
  <c r="A27" i="1"/>
  <c r="A28" i="1"/>
  <c r="A24" i="1"/>
  <c r="A22" i="1"/>
  <c r="A23" i="1"/>
  <c r="A21" i="1"/>
  <c r="B15" i="1"/>
  <c r="B16" i="1"/>
  <c r="B17" i="1"/>
  <c r="B14" i="1"/>
  <c r="C32" i="1" s="1"/>
  <c r="A15" i="1"/>
  <c r="A16" i="1"/>
  <c r="A17" i="1"/>
  <c r="A14" i="1"/>
</calcChain>
</file>

<file path=xl/sharedStrings.xml><?xml version="1.0" encoding="utf-8"?>
<sst xmlns="http://schemas.openxmlformats.org/spreadsheetml/2006/main" count="119" uniqueCount="103">
  <si>
    <t>Blue Ridge Digital LLC — Income Statement Practice</t>
  </si>
  <si>
    <t>Reporting period</t>
  </si>
  <si>
    <t>Month ended December 31, 2026</t>
  </si>
  <si>
    <t>Task</t>
  </si>
  <si>
    <t>Use the five source tabs to prepare an income statement for December 2026.</t>
  </si>
  <si>
    <t>Use actual recognized revenue and actual expenses only.</t>
  </si>
  <si>
    <t>Exclude assets, liabilities, equity accounts, owner distributions, and budget figures.</t>
  </si>
  <si>
    <t>Show revenue, expenses, total expenses, and net income.</t>
  </si>
  <si>
    <t>Description</t>
  </si>
  <si>
    <t>Amount</t>
  </si>
  <si>
    <t>Totals</t>
  </si>
  <si>
    <t>Notes</t>
  </si>
  <si>
    <t>Revenue</t>
  </si>
  <si>
    <t>Total revenue</t>
  </si>
  <si>
    <t>Expenses</t>
  </si>
  <si>
    <t>Total expenses</t>
  </si>
  <si>
    <t>Net income</t>
  </si>
  <si>
    <t>Invoice ID</t>
  </si>
  <si>
    <t>Client</t>
  </si>
  <si>
    <t>December service revenue</t>
  </si>
  <si>
    <t>Cash collected</t>
  </si>
  <si>
    <t>Recognition note</t>
  </si>
  <si>
    <t>INV-1201</t>
  </si>
  <si>
    <t>Harbor Dental Group</t>
  </si>
  <si>
    <t>December campaign services completed</t>
  </si>
  <si>
    <t>INV-1202</t>
  </si>
  <si>
    <t>Oak &amp; Pine Retail</t>
  </si>
  <si>
    <t>December retainer earned</t>
  </si>
  <si>
    <t>INV-1203</t>
  </si>
  <si>
    <t>Summit Fitness</t>
  </si>
  <si>
    <t>December project milestone accepted</t>
  </si>
  <si>
    <t>INV-1204</t>
  </si>
  <si>
    <t>Clearwater Legal</t>
  </si>
  <si>
    <t>INV-1205</t>
  </si>
  <si>
    <t>New client deposit</t>
  </si>
  <si>
    <t>January work; not earned in December</t>
  </si>
  <si>
    <t>Account</t>
  </si>
  <si>
    <t>December actual</t>
  </si>
  <si>
    <t>Salaries expense</t>
  </si>
  <si>
    <t>Employee wages earned in December</t>
  </si>
  <si>
    <t>Payroll tax expense</t>
  </si>
  <si>
    <t>Employer payroll taxes</t>
  </si>
  <si>
    <t>Contractor expense</t>
  </si>
  <si>
    <t>Freelance design and copywriting</t>
  </si>
  <si>
    <t>Accrued payroll</t>
  </si>
  <si>
    <t>Wages earned but unpaid at month-end</t>
  </si>
  <si>
    <t>Employee advances</t>
  </si>
  <si>
    <t>Amounts recoverable from employees</t>
  </si>
  <si>
    <t>Office rent expense</t>
  </si>
  <si>
    <t>December office lease</t>
  </si>
  <si>
    <t>Software subscriptions expense</t>
  </si>
  <si>
    <t>Marketing and analytics platforms</t>
  </si>
  <si>
    <t>Advertising expense</t>
  </si>
  <si>
    <t>Blue Ridge Digital's own marketing</t>
  </si>
  <si>
    <t>Utilities expense</t>
  </si>
  <si>
    <t>Internet, electricity, and phone</t>
  </si>
  <si>
    <t>Insurance expense</t>
  </si>
  <si>
    <t>December portion of annual policy</t>
  </si>
  <si>
    <t>Office supplies</t>
  </si>
  <si>
    <t>Unused supplies on hand at December 31</t>
  </si>
  <si>
    <t>Prepaid insurance</t>
  </si>
  <si>
    <t>Unexpired portion of annual policy</t>
  </si>
  <si>
    <t>Computer equipment</t>
  </si>
  <si>
    <t>Equipment owned at December 31</t>
  </si>
  <si>
    <t>Accounts payable</t>
  </si>
  <si>
    <t>Unpaid vendor invoices</t>
  </si>
  <si>
    <t>Cash</t>
  </si>
  <si>
    <t>Bank balance at December 31</t>
  </si>
  <si>
    <t>December budget</t>
  </si>
  <si>
    <t>Service revenue</t>
  </si>
  <si>
    <t>Planned revenue</t>
  </si>
  <si>
    <t>Planned salary expense</t>
  </si>
  <si>
    <t>Planned employer taxes</t>
  </si>
  <si>
    <t>Planned contractor expense</t>
  </si>
  <si>
    <t>Planned rent</t>
  </si>
  <si>
    <t>Planned software expense</t>
  </si>
  <si>
    <t>Planned company advertising</t>
  </si>
  <si>
    <t>Planned utilities</t>
  </si>
  <si>
    <t>Balance</t>
  </si>
  <si>
    <t>Accounts receivable</t>
  </si>
  <si>
    <t>Amounts due from clients</t>
  </si>
  <si>
    <t>Accumulated depreciation</t>
  </si>
  <si>
    <t>Contra-asset balance</t>
  </si>
  <si>
    <t>Depreciation expense</t>
  </si>
  <si>
    <t>December depreciation</t>
  </si>
  <si>
    <t>Interest expense</t>
  </si>
  <si>
    <t>December loan interest</t>
  </si>
  <si>
    <t>Unearned revenue</t>
  </si>
  <si>
    <t>Deposit for January services</t>
  </si>
  <si>
    <t>Note payable</t>
  </si>
  <si>
    <t>Outstanding loan principal</t>
  </si>
  <si>
    <t>Common stock</t>
  </si>
  <si>
    <t>Owner capital contribution</t>
  </si>
  <si>
    <t>Retained earnings</t>
  </si>
  <si>
    <t>Cumulative earnings before December close</t>
  </si>
  <si>
    <t>Owner distribution</t>
  </si>
  <si>
    <t>Distribution paid to owner</t>
  </si>
  <si>
    <t>Service revenue control total</t>
  </si>
  <si>
    <t>Earned December invoices from revenue tab</t>
  </si>
  <si>
    <t>Other income</t>
  </si>
  <si>
    <t>Referral fee earned in December</t>
  </si>
  <si>
    <t>Income taxes payable</t>
  </si>
  <si>
    <t>Estimated taxes 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</si>
</sst>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\$#,##0;[Red]\(\$#,##0\);\-"/>
  </numFmts>
  <fonts count="8">
    <font>
      <sz val="11"/>
      <name val="Carlito"/>
    </font>
    <font>
      <b/>
      <sz val="16"/>
      <color rgb="FF1F4E78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name val="Arial"/>
    </font>
    <font>
      <b/>
      <sz val="10"/>
      <name val="Arial"/>
    </font>
    <font>
      <sz val="10"/>
      <color rgb="FF222222"/>
      <name val="Arial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806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0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/>
    <xf numFmtId="0" fontId="2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164" fontId="6" fillId="0" borderId="0" xfId="0" applyNumberFormat="1" applyFont="1" applyFill="1" applyBorder="1"/>
    <xf numFmtId="0" fontId="2" fillId="4" borderId="1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3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44" fontId="4" fillId="0" borderId="0" xfId="0" applyNumberFormat="1" applyFont="1" applyFill="1" applyBorder="1" applyAlignment="1">
      <alignment vertical="center"/>
    </xf>
    <xf numFmtId="44" fontId="4" fillId="0" borderId="0" xfId="0" applyNumberFormat="1" applyFont="1" applyFill="1" applyBorder="1" applyAlignment="1">
      <alignment horizontal="left" vertical="center" indent="2"/>
    </xf>
    <xf numFmtId="44" fontId="4" fillId="0" borderId="4" xfId="0" applyNumberFormat="1" applyFont="1" applyFill="1" applyBorder="1" applyAlignment="1">
      <alignment horizontal="left" vertical="center" indent="2"/>
    </xf>
    <xf numFmtId="44" fontId="4" fillId="0" borderId="5" xfId="0" applyNumberFormat="1" applyFont="1" applyFill="1" applyBorder="1" applyAlignment="1">
      <alignment vertical="center"/>
    </xf>
    <xf numFmtId="0" fontId="3" fillId="3" borderId="7" xfId="0" applyNumberFormat="1" applyFont="1" applyFill="1" applyBorder="1" applyAlignment="1">
      <alignment vertical="center"/>
    </xf>
    <xf numFmtId="0" fontId="3" fillId="3" borderId="6" xfId="0" applyNumberFormat="1" applyFont="1" applyFill="1" applyBorder="1" applyAlignment="1">
      <alignment vertical="center"/>
    </xf>
    <xf numFmtId="0" fontId="3" fillId="3" borderId="8" xfId="0" applyNumberFormat="1" applyFont="1" applyFill="1" applyBorder="1" applyAlignment="1">
      <alignment vertical="center"/>
    </xf>
    <xf numFmtId="0" fontId="4" fillId="0" borderId="9" xfId="0" applyNumberFormat="1" applyFont="1" applyFill="1" applyBorder="1" applyAlignment="1">
      <alignment vertical="center"/>
    </xf>
    <xf numFmtId="0" fontId="4" fillId="0" borderId="10" xfId="0" applyNumberFormat="1" applyFont="1" applyFill="1" applyBorder="1" applyAlignment="1">
      <alignment vertical="center"/>
    </xf>
    <xf numFmtId="0" fontId="4" fillId="0" borderId="9" xfId="0" applyNumberFormat="1" applyFont="1" applyFill="1" applyBorder="1" applyAlignment="1">
      <alignment horizontal="left" vertical="center" indent="2"/>
    </xf>
    <xf numFmtId="0" fontId="4" fillId="0" borderId="9" xfId="0" applyNumberFormat="1" applyFont="1" applyFill="1" applyBorder="1" applyAlignment="1">
      <alignment horizontal="left" vertical="center" indent="4"/>
    </xf>
    <xf numFmtId="0" fontId="0" fillId="0" borderId="0" xfId="0" applyBorder="1"/>
    <xf numFmtId="0" fontId="5" fillId="5" borderId="11" xfId="0" applyNumberFormat="1" applyFont="1" applyFill="1" applyBorder="1" applyAlignment="1">
      <alignment vertical="center"/>
    </xf>
    <xf numFmtId="0" fontId="7" fillId="5" borderId="4" xfId="0" applyFont="1" applyFill="1" applyBorder="1"/>
    <xf numFmtId="44" fontId="5" fillId="5" borderId="4" xfId="0" applyNumberFormat="1" applyFont="1" applyFill="1" applyBorder="1" applyAlignment="1">
      <alignment vertical="center"/>
    </xf>
    <xf numFmtId="0" fontId="4" fillId="6" borderId="10" xfId="0" applyNumberFormat="1" applyFont="1" applyFill="1" applyBorder="1" applyAlignment="1">
      <alignment vertical="center"/>
    </xf>
    <xf numFmtId="0" fontId="4" fillId="6" borderId="1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G34"/>
  <sheetViews>
    <sheetView showGridLines="0" tabSelected="1" topLeftCell="A6" workbookViewId="0">
      <selection activeCell="C20" sqref="C20"/>
    </sheetView>
  </sheetViews>
  <sheetFormatPr defaultRowHeight="14.25" customHeight="1"/>
  <cols>
    <col min="1" max="1" width="48" customWidth="1"/>
    <col min="2" max="2" width="22" customWidth="1"/>
    <col min="3" max="3" width="14.5" customWidth="1"/>
    <col min="4" max="4" width="30" customWidth="1"/>
  </cols>
  <sheetData>
    <row r="1" spans="1:7" ht="15" customHeight="1">
      <c r="A1" s="11"/>
      <c r="B1" s="11"/>
      <c r="C1" s="11"/>
      <c r="D1" s="11"/>
      <c r="E1" s="11"/>
      <c r="F1" s="11"/>
      <c r="G1" s="11"/>
    </row>
    <row r="2" spans="1:7" ht="19.149999999999999" customHeight="1">
      <c r="A2" s="12" t="s">
        <v>0</v>
      </c>
      <c r="B2" s="12"/>
      <c r="C2" s="13"/>
      <c r="D2" s="13"/>
      <c r="E2" s="13"/>
      <c r="F2" s="13"/>
      <c r="G2" s="13"/>
    </row>
    <row r="3" spans="1:7" ht="15" customHeight="1">
      <c r="A3" s="11"/>
      <c r="B3" s="11"/>
      <c r="C3" s="11"/>
      <c r="D3" s="11"/>
      <c r="E3" s="11"/>
      <c r="F3" s="11"/>
      <c r="G3" s="11"/>
    </row>
    <row r="4" spans="1:7" ht="15" customHeight="1">
      <c r="A4" s="1" t="s">
        <v>1</v>
      </c>
      <c r="B4" s="1"/>
      <c r="C4" s="11" t="s">
        <v>2</v>
      </c>
      <c r="D4" s="11"/>
      <c r="E4" s="11"/>
      <c r="F4" s="11"/>
      <c r="G4" s="11"/>
    </row>
    <row r="5" spans="1:7" ht="15" customHeight="1">
      <c r="A5" s="11"/>
      <c r="B5" s="11"/>
      <c r="C5" s="11"/>
      <c r="D5" s="11"/>
      <c r="E5" s="11"/>
      <c r="F5" s="11"/>
      <c r="G5" s="11"/>
    </row>
    <row r="6" spans="1:7" ht="15" customHeight="1">
      <c r="A6" s="2" t="s">
        <v>3</v>
      </c>
      <c r="B6" s="2"/>
      <c r="C6" s="2"/>
      <c r="D6" s="2"/>
      <c r="E6" s="2"/>
      <c r="F6" s="2"/>
      <c r="G6" s="2"/>
    </row>
    <row r="7" spans="1:7" ht="15" customHeight="1">
      <c r="A7" s="11" t="s">
        <v>4</v>
      </c>
      <c r="B7" s="11"/>
      <c r="C7" s="11"/>
      <c r="D7" s="11"/>
      <c r="E7" s="11"/>
      <c r="F7" s="11"/>
      <c r="G7" s="11"/>
    </row>
    <row r="8" spans="1:7" ht="15" customHeight="1">
      <c r="A8" s="11" t="s">
        <v>5</v>
      </c>
      <c r="B8" s="11"/>
      <c r="C8" s="11"/>
      <c r="D8" s="11"/>
      <c r="E8" s="11"/>
      <c r="F8" s="11"/>
      <c r="G8" s="11"/>
    </row>
    <row r="9" spans="1:7" ht="15" customHeight="1">
      <c r="A9" s="11" t="s">
        <v>6</v>
      </c>
      <c r="B9" s="11"/>
      <c r="C9" s="11"/>
      <c r="D9" s="11"/>
      <c r="E9" s="11"/>
      <c r="F9" s="11"/>
      <c r="G9" s="11"/>
    </row>
    <row r="10" spans="1:7" ht="15" customHeight="1">
      <c r="A10" s="11" t="s">
        <v>7</v>
      </c>
      <c r="B10" s="11"/>
      <c r="C10" s="11"/>
      <c r="D10" s="11"/>
      <c r="E10" s="11"/>
      <c r="F10" s="11"/>
      <c r="G10" s="11"/>
    </row>
    <row r="11" spans="1:7" ht="15" customHeight="1">
      <c r="A11" s="11"/>
      <c r="B11" s="11"/>
      <c r="C11" s="11"/>
      <c r="D11" s="11"/>
      <c r="E11" s="11"/>
      <c r="F11" s="11"/>
      <c r="G11" s="11"/>
    </row>
    <row r="12" spans="1:7" ht="15" customHeight="1">
      <c r="A12" s="18" t="s">
        <v>8</v>
      </c>
      <c r="B12" s="19" t="s">
        <v>9</v>
      </c>
      <c r="C12" s="19" t="s">
        <v>10</v>
      </c>
      <c r="D12" s="20" t="s">
        <v>11</v>
      </c>
      <c r="E12" s="11"/>
      <c r="F12" s="11"/>
      <c r="G12" s="11"/>
    </row>
    <row r="13" spans="1:7" ht="15" customHeight="1">
      <c r="A13" s="21" t="s">
        <v>12</v>
      </c>
      <c r="B13" s="14"/>
      <c r="C13" s="14"/>
      <c r="D13" s="29"/>
      <c r="E13" s="11"/>
      <c r="F13" s="11"/>
      <c r="G13" s="11"/>
    </row>
    <row r="14" spans="1:7" ht="15" customHeight="1">
      <c r="A14" s="23" t="str">
        <f>revenue!B2</f>
        <v>Harbor Dental Group</v>
      </c>
      <c r="B14" s="15">
        <f>revenue!C2</f>
        <v>48000</v>
      </c>
      <c r="C14" s="14"/>
      <c r="D14" s="22" t="str">
        <f>revenue!A2</f>
        <v>INV-1201</v>
      </c>
      <c r="E14" s="11"/>
      <c r="F14" s="11"/>
      <c r="G14" s="11"/>
    </row>
    <row r="15" spans="1:7" ht="15" customHeight="1">
      <c r="A15" s="23" t="str">
        <f>revenue!B3</f>
        <v>Oak &amp; Pine Retail</v>
      </c>
      <c r="B15" s="15">
        <f>revenue!C3</f>
        <v>36500</v>
      </c>
      <c r="C15" s="14"/>
      <c r="D15" s="22" t="str">
        <f>revenue!A3</f>
        <v>INV-1202</v>
      </c>
      <c r="E15" s="11"/>
      <c r="F15" s="11"/>
      <c r="G15" s="11"/>
    </row>
    <row r="16" spans="1:7" ht="15" customHeight="1">
      <c r="A16" s="23" t="str">
        <f>revenue!B4</f>
        <v>Summit Fitness</v>
      </c>
      <c r="B16" s="15">
        <f>revenue!C4</f>
        <v>52000</v>
      </c>
      <c r="C16" s="14"/>
      <c r="D16" s="22" t="str">
        <f>revenue!A4</f>
        <v>INV-1203</v>
      </c>
      <c r="E16" s="11"/>
      <c r="F16" s="11"/>
      <c r="G16" s="11"/>
    </row>
    <row r="17" spans="1:7" ht="15" customHeight="1">
      <c r="A17" s="23" t="str">
        <f>revenue!B5</f>
        <v>Clearwater Legal</v>
      </c>
      <c r="B17" s="15">
        <f>revenue!C5</f>
        <v>40000</v>
      </c>
      <c r="C17" s="14"/>
      <c r="D17" s="22" t="str">
        <f>revenue!A5</f>
        <v>INV-1204</v>
      </c>
      <c r="E17" s="11"/>
      <c r="F17" s="11"/>
      <c r="G17" s="11"/>
    </row>
    <row r="18" spans="1:7" ht="15" customHeight="1">
      <c r="A18" s="23" t="str">
        <f>accounting!A12</f>
        <v>Other income</v>
      </c>
      <c r="B18" s="16">
        <f>accounting!B12</f>
        <v>20000</v>
      </c>
      <c r="C18" s="14"/>
      <c r="D18" s="22" t="str">
        <f>accounting!C12</f>
        <v>Referral fee earned in December</v>
      </c>
      <c r="E18" s="11"/>
      <c r="F18" s="11"/>
      <c r="G18" s="11"/>
    </row>
    <row r="19" spans="1:7" ht="15" customHeight="1">
      <c r="A19" s="24" t="s">
        <v>13</v>
      </c>
      <c r="B19" s="25"/>
      <c r="C19" s="14">
        <f>SUM(B14:B18)</f>
        <v>196500</v>
      </c>
      <c r="D19" s="29"/>
      <c r="E19" s="11"/>
      <c r="F19" s="11"/>
      <c r="G19" s="11"/>
    </row>
    <row r="20" spans="1:7" ht="15" customHeight="1">
      <c r="A20" s="21" t="s">
        <v>14</v>
      </c>
      <c r="B20" s="14"/>
      <c r="C20" s="14"/>
      <c r="D20" s="29"/>
      <c r="E20" s="11"/>
      <c r="F20" s="11"/>
      <c r="G20" s="11"/>
    </row>
    <row r="21" spans="1:7" ht="15" customHeight="1">
      <c r="A21" s="23" t="str">
        <f>payroll!A2</f>
        <v>Salaries expense</v>
      </c>
      <c r="B21" s="15">
        <f>payroll!B2</f>
        <v>88000</v>
      </c>
      <c r="C21" s="25"/>
      <c r="D21" s="22" t="str">
        <f>payroll!C2</f>
        <v>Employee wages earned in December</v>
      </c>
      <c r="E21" s="11"/>
      <c r="F21" s="11"/>
      <c r="G21" s="11"/>
    </row>
    <row r="22" spans="1:7" ht="15" customHeight="1">
      <c r="A22" s="23" t="str">
        <f>payroll!A3</f>
        <v>Payroll tax expense</v>
      </c>
      <c r="B22" s="15">
        <f>payroll!B3</f>
        <v>7200</v>
      </c>
      <c r="C22" s="25"/>
      <c r="D22" s="22" t="str">
        <f>payroll!C3</f>
        <v>Employer payroll taxes</v>
      </c>
      <c r="E22" s="11"/>
      <c r="F22" s="11"/>
      <c r="G22" s="11"/>
    </row>
    <row r="23" spans="1:7" ht="15" customHeight="1">
      <c r="A23" s="23" t="str">
        <f>payroll!A4</f>
        <v>Contractor expense</v>
      </c>
      <c r="B23" s="15">
        <f>payroll!B4</f>
        <v>12500</v>
      </c>
      <c r="C23" s="25"/>
      <c r="D23" s="22" t="str">
        <f>payroll!C4</f>
        <v>Freelance design and copywriting</v>
      </c>
      <c r="E23" s="11"/>
      <c r="F23" s="11"/>
      <c r="G23" s="11"/>
    </row>
    <row r="24" spans="1:7" ht="15" customHeight="1">
      <c r="A24" s="23" t="str">
        <f>operations!A2</f>
        <v>Office rent expense</v>
      </c>
      <c r="B24" s="15">
        <f>operations!B2</f>
        <v>6000</v>
      </c>
      <c r="C24" s="25"/>
      <c r="D24" s="22" t="str">
        <f>operations!C2</f>
        <v>December office lease</v>
      </c>
      <c r="E24" s="11"/>
      <c r="F24" s="11"/>
      <c r="G24" s="11"/>
    </row>
    <row r="25" spans="1:7" ht="15" customHeight="1">
      <c r="A25" s="23" t="str">
        <f>operations!A3</f>
        <v>Software subscriptions expense</v>
      </c>
      <c r="B25" s="15">
        <f>operations!B3</f>
        <v>8400</v>
      </c>
      <c r="C25" s="25"/>
      <c r="D25" s="22" t="str">
        <f>operations!C3</f>
        <v>Marketing and analytics platforms</v>
      </c>
      <c r="E25" s="11"/>
      <c r="F25" s="11"/>
      <c r="G25" s="11"/>
    </row>
    <row r="26" spans="1:7" ht="15" customHeight="1">
      <c r="A26" s="23" t="str">
        <f>operations!A4</f>
        <v>Advertising expense</v>
      </c>
      <c r="B26" s="15">
        <f>operations!B4</f>
        <v>2500</v>
      </c>
      <c r="C26" s="25"/>
      <c r="D26" s="22" t="str">
        <f>operations!C4</f>
        <v>Blue Ridge Digital's own marketing</v>
      </c>
      <c r="E26" s="11"/>
      <c r="F26" s="11"/>
      <c r="G26" s="11"/>
    </row>
    <row r="27" spans="1:7" ht="15" customHeight="1">
      <c r="A27" s="23" t="str">
        <f>operations!A5</f>
        <v>Utilities expense</v>
      </c>
      <c r="B27" s="15">
        <f>operations!B5</f>
        <v>1200</v>
      </c>
      <c r="C27" s="25"/>
      <c r="D27" s="22" t="str">
        <f>operations!C5</f>
        <v>Internet, electricity, and phone</v>
      </c>
      <c r="E27" s="11"/>
      <c r="F27" s="11"/>
      <c r="G27" s="11"/>
    </row>
    <row r="28" spans="1:7" ht="15" customHeight="1">
      <c r="A28" s="23" t="str">
        <f>operations!A6</f>
        <v>Insurance expense</v>
      </c>
      <c r="B28" s="15">
        <f>operations!B6</f>
        <v>1800</v>
      </c>
      <c r="C28" s="25"/>
      <c r="D28" s="22" t="str">
        <f>operations!C6</f>
        <v>December portion of annual policy</v>
      </c>
      <c r="E28" s="11"/>
      <c r="F28" s="11"/>
      <c r="G28" s="11"/>
    </row>
    <row r="29" spans="1:7" ht="15" customHeight="1">
      <c r="A29" s="23" t="str">
        <f>accounting!A4</f>
        <v>Depreciation expense</v>
      </c>
      <c r="B29" s="15">
        <f>accounting!B4</f>
        <v>1100</v>
      </c>
      <c r="C29" s="25"/>
      <c r="D29" s="22" t="str">
        <f>accounting!C4</f>
        <v>December depreciation</v>
      </c>
      <c r="E29" s="11"/>
      <c r="F29" s="11"/>
      <c r="G29" s="11"/>
    </row>
    <row r="30" spans="1:7" ht="15" customHeight="1">
      <c r="A30" s="23" t="str">
        <f>accounting!A5</f>
        <v>Interest expense</v>
      </c>
      <c r="B30" s="16">
        <f>accounting!B5</f>
        <v>500</v>
      </c>
      <c r="C30" s="25"/>
      <c r="D30" s="22" t="str">
        <f>accounting!C5</f>
        <v>December loan interest</v>
      </c>
      <c r="E30" s="11"/>
      <c r="F30" s="11"/>
      <c r="G30" s="11"/>
    </row>
    <row r="31" spans="1:7" ht="15" customHeight="1">
      <c r="A31" s="24" t="s">
        <v>15</v>
      </c>
      <c r="B31" s="25"/>
      <c r="C31" s="17">
        <f>SUM(B21:B30)</f>
        <v>129200</v>
      </c>
      <c r="D31" s="29"/>
      <c r="E31" s="11"/>
      <c r="F31" s="11"/>
      <c r="G31" s="11"/>
    </row>
    <row r="32" spans="1:7" ht="15" customHeight="1">
      <c r="A32" s="26" t="s">
        <v>16</v>
      </c>
      <c r="B32" s="27"/>
      <c r="C32" s="28">
        <f>C19-C31</f>
        <v>67300</v>
      </c>
      <c r="D32" s="30"/>
      <c r="E32" s="11"/>
      <c r="F32" s="11"/>
      <c r="G32" s="11"/>
    </row>
    <row r="33" spans="1:7" ht="15" customHeight="1">
      <c r="A33" s="11"/>
      <c r="B33" s="11"/>
      <c r="C33" s="11"/>
      <c r="D33" s="11"/>
      <c r="E33" s="11"/>
      <c r="F33" s="11"/>
      <c r="G33" s="11"/>
    </row>
    <row r="34" spans="1:7" ht="15" customHeight="1">
      <c r="A34" s="11"/>
      <c r="B34" s="11"/>
      <c r="C34" s="11"/>
      <c r="D34" s="11"/>
      <c r="E34" s="11"/>
      <c r="F34" s="11"/>
      <c r="G34" s="11"/>
    </row>
  </sheetData>
  <mergeCells count="1"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DC3E6"/>
  </sheetPr>
  <dimension ref="A1:E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7.5" customWidth="1"/>
    <col min="2" max="2" width="23.625" customWidth="1"/>
    <col min="3" max="3" width="19.25" customWidth="1"/>
    <col min="4" max="4" width="11" customWidth="1"/>
    <col min="5" max="5" width="27.25" customWidth="1"/>
  </cols>
  <sheetData>
    <row r="1" spans="1:5" ht="15" customHeight="1">
      <c r="A1" s="4" t="s">
        <v>17</v>
      </c>
      <c r="B1" s="5" t="s">
        <v>18</v>
      </c>
      <c r="C1" s="5" t="s">
        <v>19</v>
      </c>
      <c r="D1" s="5" t="s">
        <v>20</v>
      </c>
      <c r="E1" s="6" t="s">
        <v>21</v>
      </c>
    </row>
    <row r="2" spans="1:5" ht="15" customHeight="1">
      <c r="A2" s="3" t="s">
        <v>22</v>
      </c>
      <c r="B2" s="3" t="s">
        <v>23</v>
      </c>
      <c r="C2" s="7">
        <v>48000</v>
      </c>
      <c r="D2" s="7">
        <v>42000</v>
      </c>
      <c r="E2" s="3" t="s">
        <v>24</v>
      </c>
    </row>
    <row r="3" spans="1:5" ht="15" customHeight="1">
      <c r="A3" s="3" t="s">
        <v>25</v>
      </c>
      <c r="B3" s="3" t="s">
        <v>26</v>
      </c>
      <c r="C3" s="7">
        <v>36500</v>
      </c>
      <c r="D3" s="7">
        <v>36500</v>
      </c>
      <c r="E3" s="3" t="s">
        <v>27</v>
      </c>
    </row>
    <row r="4" spans="1:5" ht="15" customHeight="1">
      <c r="A4" s="3" t="s">
        <v>28</v>
      </c>
      <c r="B4" s="3" t="s">
        <v>29</v>
      </c>
      <c r="C4" s="7">
        <v>52000</v>
      </c>
      <c r="D4" s="7">
        <v>30000</v>
      </c>
      <c r="E4" s="3" t="s">
        <v>30</v>
      </c>
    </row>
    <row r="5" spans="1:5" ht="15" customHeight="1">
      <c r="A5" s="3" t="s">
        <v>31</v>
      </c>
      <c r="B5" s="3" t="s">
        <v>32</v>
      </c>
      <c r="C5" s="7">
        <v>40000</v>
      </c>
      <c r="D5" s="7">
        <v>40000</v>
      </c>
      <c r="E5" s="3" t="s">
        <v>27</v>
      </c>
    </row>
    <row r="6" spans="1:5" ht="15" customHeight="1">
      <c r="A6" s="3" t="s">
        <v>33</v>
      </c>
      <c r="B6" s="3" t="s">
        <v>34</v>
      </c>
      <c r="C6" s="7">
        <v>20000</v>
      </c>
      <c r="D6" s="7">
        <v>20000</v>
      </c>
      <c r="E6" s="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DC3E6"/>
  </sheetPr>
  <dimension ref="A1:C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8.625" customWidth="1"/>
    <col min="2" max="2" width="12.375" customWidth="1"/>
    <col min="3" max="3" width="26.5" customWidth="1"/>
  </cols>
  <sheetData>
    <row r="1" spans="1:3" ht="15" customHeight="1">
      <c r="A1" s="4" t="s">
        <v>36</v>
      </c>
      <c r="B1" s="5" t="s">
        <v>37</v>
      </c>
      <c r="C1" s="6" t="s">
        <v>8</v>
      </c>
    </row>
    <row r="2" spans="1:3" ht="15" customHeight="1">
      <c r="A2" s="3" t="s">
        <v>38</v>
      </c>
      <c r="B2" s="7">
        <v>88000</v>
      </c>
      <c r="C2" s="3" t="s">
        <v>39</v>
      </c>
    </row>
    <row r="3" spans="1:3" ht="15" customHeight="1">
      <c r="A3" s="3" t="s">
        <v>40</v>
      </c>
      <c r="B3" s="7">
        <v>7200</v>
      </c>
      <c r="C3" s="3" t="s">
        <v>41</v>
      </c>
    </row>
    <row r="4" spans="1:3" ht="15" customHeight="1">
      <c r="A4" s="3" t="s">
        <v>42</v>
      </c>
      <c r="B4" s="7">
        <v>12500</v>
      </c>
      <c r="C4" s="3" t="s">
        <v>43</v>
      </c>
    </row>
    <row r="5" spans="1:3" ht="15" customHeight="1">
      <c r="A5" s="3" t="s">
        <v>44</v>
      </c>
      <c r="B5" s="7">
        <v>9100</v>
      </c>
      <c r="C5" s="3" t="s">
        <v>45</v>
      </c>
    </row>
    <row r="6" spans="1:3" ht="15" customHeight="1">
      <c r="A6" s="3" t="s">
        <v>46</v>
      </c>
      <c r="B6" s="7">
        <v>2500</v>
      </c>
      <c r="C6" s="3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DC3E6"/>
  </sheetPr>
  <dimension ref="A1:C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1.5" customWidth="1"/>
    <col min="2" max="2" width="12.375" customWidth="1"/>
    <col min="3" max="3" width="28.125" customWidth="1"/>
  </cols>
  <sheetData>
    <row r="1" spans="1:3" ht="15" customHeight="1">
      <c r="A1" s="4" t="s">
        <v>36</v>
      </c>
      <c r="B1" s="5" t="s">
        <v>37</v>
      </c>
      <c r="C1" s="6" t="s">
        <v>8</v>
      </c>
    </row>
    <row r="2" spans="1:3" ht="15" customHeight="1">
      <c r="A2" s="3" t="s">
        <v>48</v>
      </c>
      <c r="B2" s="7">
        <v>6000</v>
      </c>
      <c r="C2" s="3" t="s">
        <v>49</v>
      </c>
    </row>
    <row r="3" spans="1:3" ht="15" customHeight="1">
      <c r="A3" s="3" t="s">
        <v>50</v>
      </c>
      <c r="B3" s="7">
        <v>8400</v>
      </c>
      <c r="C3" s="3" t="s">
        <v>51</v>
      </c>
    </row>
    <row r="4" spans="1:3" ht="15" customHeight="1">
      <c r="A4" s="3" t="s">
        <v>52</v>
      </c>
      <c r="B4" s="7">
        <v>2500</v>
      </c>
      <c r="C4" s="3" t="s">
        <v>53</v>
      </c>
    </row>
    <row r="5" spans="1:3" ht="15" customHeight="1">
      <c r="A5" s="3" t="s">
        <v>54</v>
      </c>
      <c r="B5" s="7">
        <v>1200</v>
      </c>
      <c r="C5" s="3" t="s">
        <v>55</v>
      </c>
    </row>
    <row r="6" spans="1:3" ht="15" customHeight="1">
      <c r="A6" s="3" t="s">
        <v>56</v>
      </c>
      <c r="B6" s="7">
        <v>1800</v>
      </c>
      <c r="C6" s="3" t="s">
        <v>57</v>
      </c>
    </row>
    <row r="7" spans="1:3" ht="15" customHeight="1">
      <c r="A7" s="3" t="s">
        <v>58</v>
      </c>
      <c r="B7" s="7">
        <v>4800</v>
      </c>
      <c r="C7" s="3" t="s">
        <v>59</v>
      </c>
    </row>
    <row r="8" spans="1:3" ht="15" customHeight="1">
      <c r="A8" s="3" t="s">
        <v>60</v>
      </c>
      <c r="B8" s="7">
        <v>19800</v>
      </c>
      <c r="C8" s="3" t="s">
        <v>61</v>
      </c>
    </row>
    <row r="9" spans="1:3" ht="15" customHeight="1">
      <c r="A9" s="3" t="s">
        <v>62</v>
      </c>
      <c r="B9" s="7">
        <v>72000</v>
      </c>
      <c r="C9" s="3" t="s">
        <v>63</v>
      </c>
    </row>
    <row r="10" spans="1:3" ht="15" customHeight="1">
      <c r="A10" s="3" t="s">
        <v>64</v>
      </c>
      <c r="B10" s="7">
        <v>36200</v>
      </c>
      <c r="C10" s="3" t="s">
        <v>65</v>
      </c>
    </row>
    <row r="11" spans="1:3" ht="15" customHeight="1">
      <c r="A11" s="3" t="s">
        <v>66</v>
      </c>
      <c r="B11" s="7">
        <v>300000</v>
      </c>
      <c r="C11" s="3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9000"/>
  </sheetPr>
  <dimension ref="A1:C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1.5" customWidth="1"/>
    <col min="2" max="2" width="13" customWidth="1"/>
    <col min="3" max="3" width="19.875" customWidth="1"/>
  </cols>
  <sheetData>
    <row r="1" spans="1:3" ht="15" customHeight="1">
      <c r="A1" s="8" t="s">
        <v>36</v>
      </c>
      <c r="B1" s="9" t="s">
        <v>68</v>
      </c>
      <c r="C1" s="10" t="s">
        <v>8</v>
      </c>
    </row>
    <row r="2" spans="1:3" ht="15" customHeight="1">
      <c r="A2" s="3" t="s">
        <v>69</v>
      </c>
      <c r="B2" s="7">
        <v>190000</v>
      </c>
      <c r="C2" s="3" t="s">
        <v>70</v>
      </c>
    </row>
    <row r="3" spans="1:3" ht="15" customHeight="1">
      <c r="A3" s="3" t="s">
        <v>38</v>
      </c>
      <c r="B3" s="7">
        <v>85000</v>
      </c>
      <c r="C3" s="3" t="s">
        <v>71</v>
      </c>
    </row>
    <row r="4" spans="1:3" ht="15" customHeight="1">
      <c r="A4" s="3" t="s">
        <v>40</v>
      </c>
      <c r="B4" s="7">
        <v>7000</v>
      </c>
      <c r="C4" s="3" t="s">
        <v>72</v>
      </c>
    </row>
    <row r="5" spans="1:3" ht="15" customHeight="1">
      <c r="A5" s="3" t="s">
        <v>42</v>
      </c>
      <c r="B5" s="7">
        <v>10000</v>
      </c>
      <c r="C5" s="3" t="s">
        <v>73</v>
      </c>
    </row>
    <row r="6" spans="1:3" ht="15" customHeight="1">
      <c r="A6" s="3" t="s">
        <v>48</v>
      </c>
      <c r="B6" s="7">
        <v>6000</v>
      </c>
      <c r="C6" s="3" t="s">
        <v>74</v>
      </c>
    </row>
    <row r="7" spans="1:3" ht="15" customHeight="1">
      <c r="A7" s="3" t="s">
        <v>50</v>
      </c>
      <c r="B7" s="7">
        <v>8000</v>
      </c>
      <c r="C7" s="3" t="s">
        <v>75</v>
      </c>
    </row>
    <row r="8" spans="1:3" ht="15" customHeight="1">
      <c r="A8" s="3" t="s">
        <v>52</v>
      </c>
      <c r="B8" s="7">
        <v>3000</v>
      </c>
      <c r="C8" s="3" t="s">
        <v>76</v>
      </c>
    </row>
    <row r="9" spans="1:3" ht="15" customHeight="1">
      <c r="A9" s="3" t="s">
        <v>54</v>
      </c>
      <c r="B9" s="7">
        <v>1100</v>
      </c>
      <c r="C9" s="3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DC3E6"/>
  </sheetPr>
  <dimension ref="A1:C13"/>
  <sheetViews>
    <sheetView showGridLines="0" workbookViewId="0">
      <pane ySplit="1" topLeftCell="A2" activePane="bottomLeft" state="frozen"/>
      <selection pane="bottomLeft" activeCell="A12" sqref="A12"/>
    </sheetView>
  </sheetViews>
  <sheetFormatPr defaultRowHeight="15"/>
  <cols>
    <col min="1" max="1" width="23.125" customWidth="1"/>
    <col min="2" max="2" width="17.375" customWidth="1"/>
    <col min="3" max="3" width="29.875" customWidth="1"/>
  </cols>
  <sheetData>
    <row r="1" spans="1:3" ht="15" customHeight="1">
      <c r="A1" s="4" t="s">
        <v>36</v>
      </c>
      <c r="B1" s="5" t="s">
        <v>78</v>
      </c>
      <c r="C1" s="6" t="s">
        <v>8</v>
      </c>
    </row>
    <row r="2" spans="1:3" ht="15" customHeight="1">
      <c r="A2" s="3" t="s">
        <v>79</v>
      </c>
      <c r="B2" s="7">
        <v>174000</v>
      </c>
      <c r="C2" s="3" t="s">
        <v>80</v>
      </c>
    </row>
    <row r="3" spans="1:3" ht="15" customHeight="1">
      <c r="A3" s="3" t="s">
        <v>81</v>
      </c>
      <c r="B3" s="7">
        <v>18500</v>
      </c>
      <c r="C3" s="3" t="s">
        <v>82</v>
      </c>
    </row>
    <row r="4" spans="1:3" ht="15" customHeight="1">
      <c r="A4" s="3" t="s">
        <v>83</v>
      </c>
      <c r="B4" s="7">
        <v>1100</v>
      </c>
      <c r="C4" s="3" t="s">
        <v>84</v>
      </c>
    </row>
    <row r="5" spans="1:3" ht="15" customHeight="1">
      <c r="A5" s="3" t="s">
        <v>85</v>
      </c>
      <c r="B5" s="7">
        <v>500</v>
      </c>
      <c r="C5" s="3" t="s">
        <v>86</v>
      </c>
    </row>
    <row r="6" spans="1:3" ht="15" customHeight="1">
      <c r="A6" s="3" t="s">
        <v>87</v>
      </c>
      <c r="B6" s="7">
        <v>20000</v>
      </c>
      <c r="C6" s="3" t="s">
        <v>88</v>
      </c>
    </row>
    <row r="7" spans="1:3" ht="15" customHeight="1">
      <c r="A7" s="3" t="s">
        <v>89</v>
      </c>
      <c r="B7" s="7">
        <v>65000</v>
      </c>
      <c r="C7" s="3" t="s">
        <v>90</v>
      </c>
    </row>
    <row r="8" spans="1:3" ht="15" customHeight="1">
      <c r="A8" s="3" t="s">
        <v>91</v>
      </c>
      <c r="B8" s="7">
        <v>100000</v>
      </c>
      <c r="C8" s="3" t="s">
        <v>92</v>
      </c>
    </row>
    <row r="9" spans="1:3" ht="15" customHeight="1">
      <c r="A9" s="3" t="s">
        <v>93</v>
      </c>
      <c r="B9" s="7">
        <v>242700</v>
      </c>
      <c r="C9" s="3" t="s">
        <v>94</v>
      </c>
    </row>
    <row r="10" spans="1:3" ht="15" customHeight="1">
      <c r="A10" s="3" t="s">
        <v>95</v>
      </c>
      <c r="B10" s="7">
        <v>10000</v>
      </c>
      <c r="C10" s="3" t="s">
        <v>96</v>
      </c>
    </row>
    <row r="11" spans="1:3" ht="15" customHeight="1">
      <c r="A11" s="3" t="s">
        <v>97</v>
      </c>
      <c r="B11" s="7">
        <v>176500</v>
      </c>
      <c r="C11" s="3" t="s">
        <v>98</v>
      </c>
    </row>
    <row r="12" spans="1:3" ht="15" customHeight="1">
      <c r="A12" s="3" t="s">
        <v>99</v>
      </c>
      <c r="B12" s="7">
        <v>20000</v>
      </c>
      <c r="C12" s="3" t="s">
        <v>100</v>
      </c>
    </row>
    <row r="13" spans="1:3" ht="15" customHeight="1">
      <c r="A13" s="3" t="s">
        <v>101</v>
      </c>
      <c r="B13" s="7">
        <v>4000</v>
      </c>
      <c r="C13" s="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Brice Nelson</cp:lastModifiedBy>
  <cp:revision/>
  <dcterms:created xsi:type="dcterms:W3CDTF">2026-09-20T04:19:00Z</dcterms:created>
  <dcterms:modified xsi:type="dcterms:W3CDTF">2026-09-20T04:59:09Z</dcterms:modified>
  <cp:category/>
  <cp:contentStatus/>
</cp:coreProperties>
</file>